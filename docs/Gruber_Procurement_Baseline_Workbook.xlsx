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e86aa1550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7308e5e43c94d42"/>
    <x:sheet xmlns:r="http://schemas.openxmlformats.org/officeDocument/2006/relationships" name="Companies" sheetId="2" r:id="Ra4acb077783d464e"/>
    <x:sheet xmlns:r="http://schemas.openxmlformats.org/officeDocument/2006/relationships" name="Discovery Tracker" sheetId="3" r:id="R16e3d73dd3ed4265"/>
    <x:sheet xmlns:r="http://schemas.openxmlformats.org/officeDocument/2006/relationships" name="Supplier Master" sheetId="4" r:id="Rb19235f030034040"/>
    <x:sheet xmlns:r="http://schemas.openxmlformats.org/officeDocument/2006/relationships" name="Item Master" sheetId="5" r:id="Rc2615cbba5eb4c74"/>
    <x:sheet xmlns:r="http://schemas.openxmlformats.org/officeDocument/2006/relationships" name="Purchase Orders" sheetId="6" r:id="R685a84da231e400b"/>
    <x:sheet xmlns:r="http://schemas.openxmlformats.org/officeDocument/2006/relationships" name="Inventory Snapshot" sheetId="7" r:id="Rdb2bb2047e114580"/>
    <x:sheet xmlns:r="http://schemas.openxmlformats.org/officeDocument/2006/relationships" name="Savings Pipeline" sheetId="8" r:id="R782fad10dbb643c1"/>
    <x:sheet xmlns:r="http://schemas.openxmlformats.org/officeDocument/2006/relationships" name="Supplier Scorecard" sheetId="9" r:id="Rb01c8c46e0834bce"/>
    <x:sheet xmlns:r="http://schemas.openxmlformats.org/officeDocument/2006/relationships" name="KPI Definitions" sheetId="10" r:id="Rbae95228f0f14e61"/>
    <x:sheet xmlns:r="http://schemas.openxmlformats.org/officeDocument/2006/relationships" name="30-Day Plan" sheetId="11" r:id="Rf2ad0db8323e4b89"/>
    <x:sheet xmlns:r="http://schemas.openxmlformats.org/officeDocument/2006/relationships" name="Executive Dashboard" sheetId="12" r:id="R1a377b216188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$#,##0.00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5B4A00"/>
      <x:name val="Carlito"/>
    </x:font>
    <x:font>
      <x:b/>
      <x:sz val="14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5D7C"/>
      </x:patternFill>
    </x:fill>
    <x:fill>
      <x:patternFill patternType="solid">
        <x:fgColor rgb="FFDCE6EF"/>
      </x:patternFill>
    </x:fill>
    <x:fill>
      <x:patternFill patternType="solid">
        <x:fgColor rgb="FFFFF2CC"/>
      </x:patternFill>
    </x:fill>
    <x:fill>
      <x:patternFill patternType="solid">
        <x:fgColor rgb="FFEAF0F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right"/>
    </x:xf>
    <x:xf numFmtId="201" fontId="5" fillId="7" borderId="0" xfId="0" applyNumberFormat="1" applyFont="1" applyFill="1" applyBorder="1" applyAlignment="1">
      <x:alignment horizontal="right"/>
    </x:xf>
    <x:xf numFmtId="201" fontId="5" fillId="7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6660b8215453e" /><Relationship Type="http://schemas.openxmlformats.org/officeDocument/2006/relationships/theme" Target="/xl/theme/theme1.xml" Id="R3a74bfc9657f4bf2" /><Relationship Type="http://schemas.openxmlformats.org/officeDocument/2006/relationships/sharedStrings" Target="/xl/sharedStrings.xml" Id="R13cc9a97888841e8" /><Relationship Type="http://schemas.openxmlformats.org/officeDocument/2006/relationships/worksheet" Target="/xl/worksheets/sheet1.xml" Id="Ra7308e5e43c94d42" /><Relationship Type="http://schemas.openxmlformats.org/officeDocument/2006/relationships/worksheet" Target="/xl/worksheets/sheet2.xml" Id="Ra4acb077783d464e" /><Relationship Type="http://schemas.openxmlformats.org/officeDocument/2006/relationships/worksheet" Target="/xl/worksheets/sheet3.xml" Id="R16e3d73dd3ed4265" /><Relationship Type="http://schemas.openxmlformats.org/officeDocument/2006/relationships/worksheet" Target="/xl/worksheets/sheet4.xml" Id="Rb19235f030034040" /><Relationship Type="http://schemas.openxmlformats.org/officeDocument/2006/relationships/worksheet" Target="/xl/worksheets/sheet5.xml" Id="Rc2615cbba5eb4c74" /><Relationship Type="http://schemas.openxmlformats.org/officeDocument/2006/relationships/worksheet" Target="/xl/worksheets/sheet6.xml" Id="R685a84da231e400b" /><Relationship Type="http://schemas.openxmlformats.org/officeDocument/2006/relationships/worksheet" Target="/xl/worksheets/sheet7.xml" Id="Rdb2bb2047e114580" /><Relationship Type="http://schemas.openxmlformats.org/officeDocument/2006/relationships/worksheet" Target="/xl/worksheets/sheet8.xml" Id="R782fad10dbb643c1" /><Relationship Type="http://schemas.openxmlformats.org/officeDocument/2006/relationships/worksheet" Target="/xl/worksheets/sheet9.xml" Id="Rb01c8c46e0834bce" /><Relationship Type="http://schemas.openxmlformats.org/officeDocument/2006/relationships/worksheet" Target="/xl/worksheets/sheet10.xml" Id="Rbae95228f0f14e61" /><Relationship Type="http://schemas.openxmlformats.org/officeDocument/2006/relationships/worksheet" Target="/xl/worksheets/sheet11.xml" Id="Rf2ad0db8323e4b89" /><Relationship Type="http://schemas.openxmlformats.org/officeDocument/2006/relationships/worksheet" Target="/xl/worksheets/sheet12.xml" Id="R1a377b21618848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0fd536ded145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 and Inventory by Business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Purchasing Spend</c:v>
          </c:tx>
          <c:cat>
            <c:strRef>
              <c:f>'Executive Dashboard'!$D$4:$D$8</c:f>
              <c:strCache>
                <c:ptCount val="0"/>
              </c:strCache>
            </c:strRef>
          </c:cat>
          <c:val>
            <c:numRef>
              <c:f>'Executive Dashboard'!$E$4:$E$8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Inventory Value</c:v>
          </c:tx>
          <c:cat>
            <c:strRef>
              <c:f>'Executive Dashboard'!$D$4:$D$8</c:f>
              <c:strCache>
                <c:ptCount val="0"/>
              </c:strCache>
            </c:strRef>
          </c:cat>
          <c:val>
            <c:numRef>
              <c:f>'Executive Dashboard'!$F$4:$F$8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0fd536ded145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78dd846be08d45e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0" customHeight="1">
      <x:c r="A1" s="5" t="str">
        <x:v>Gruber Procurement &amp; Inventory Baseline Workbook</x:v>
      </x:c>
      <x:c r="B1" s="5"/>
      <x:c r="C1" s="5"/>
      <x:c r="D1" s="5"/>
      <x:c r="E1" s="5"/>
      <x:c r="F1" s="5"/>
      <x:c r="G1" s="5"/>
      <x:c r="H1" s="5"/>
    </x:row>
    <x:row r="2" ht="20" customHeight="1"/>
    <x:row r="3" ht="20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 ht="30" customHeight="1">
      <x:c r="A4" s="18" t="str">
        <x:v>Use this workbook to establish a centralized purchasing and inventory baseline across all five Gruber businesses. Enter or import supplier, item, purchase-order, inventory, and savings data into the yellow-header input sheets. The Executive Dashboard and analysis sheets update from those records.</x:v>
      </x:c>
      <x:c r="B4" s="18"/>
      <x:c r="C4" s="18"/>
      <x:c r="D4" s="18"/>
      <x:c r="E4" s="18"/>
      <x:c r="F4" s="18"/>
      <x:c r="G4" s="18"/>
      <x:c r="H4" s="18"/>
    </x:row>
    <x:row r="5" ht="30" customHeight="1">
      <x:c r="A5" s="18"/>
      <x:c r="B5" s="18"/>
      <x:c r="C5" s="18"/>
      <x:c r="D5" s="18"/>
      <x:c r="E5" s="18"/>
      <x:c r="F5" s="18"/>
      <x:c r="G5" s="18"/>
      <x:c r="H5" s="18"/>
    </x:row>
    <x:row r="6" ht="30" customHeight="1">
      <x:c r="A6" s="18"/>
      <x:c r="B6" s="18"/>
      <x:c r="C6" s="18"/>
      <x:c r="D6" s="18"/>
      <x:c r="E6" s="18"/>
      <x:c r="F6" s="18"/>
      <x:c r="G6" s="18"/>
      <x:c r="H6" s="18"/>
    </x:row>
    <x:row r="7" ht="20" customHeight="1"/>
    <x:row r="8" ht="20" customHeight="1">
      <x:c r="A8" s="24" t="str">
        <x:v>Recommended sequence</x:v>
      </x:c>
      <x:c r="B8" s="24" t="str">
        <x:v>Action</x:v>
      </x:c>
    </x:row>
    <x:row r="9" ht="20" customHeight="1">
      <x:c r="A9" s="18" t="str">
        <x:v>1</x:v>
      </x:c>
      <x:c r="B9" s="18" t="str">
        <x:v>Complete the Company Discovery Tracker with leaders from each business.</x:v>
      </x:c>
    </x:row>
    <x:row r="10" ht="20" customHeight="1">
      <x:c r="A10" s="18" t="str">
        <x:v>2</x:v>
      </x:c>
      <x:c r="B10" s="18" t="str">
        <x:v>Load the Supplier Master and normalize duplicate supplier names.</x:v>
      </x:c>
    </x:row>
    <x:row r="11" ht="20" customHeight="1">
      <x:c r="A11" s="18" t="str">
        <x:v>3</x:v>
      </x:c>
      <x:c r="B11" s="18" t="str">
        <x:v>Load the Item Master and assign common purchasing categories.</x:v>
      </x:c>
    </x:row>
    <x:row r="12" ht="20" customHeight="1">
      <x:c r="A12" s="18" t="str">
        <x:v>4</x:v>
      </x:c>
      <x:c r="B12" s="18" t="str">
        <x:v>Import 12-24 months of purchase-order history.</x:v>
      </x:c>
    </x:row>
    <x:row r="13" ht="20" customHeight="1">
      <x:c r="A13" s="18" t="str">
        <x:v>5</x:v>
      </x:c>
      <x:c r="B13" s="18" t="str">
        <x:v>Import the current inventory snapshot by location.</x:v>
      </x:c>
    </x:row>
    <x:row r="14" ht="20" customHeight="1">
      <x:c r="A14" s="18" t="str">
        <x:v>6</x:v>
      </x:c>
      <x:c r="B14" s="18" t="str">
        <x:v>Review dashboard exceptions and populate the Savings Pipeline.</x:v>
      </x:c>
    </x:row>
    <x:row r="15" ht="20" customHeight="1"/>
    <x:row r="16" ht="20" customHeight="1">
      <x:c r="A16" s="13" t="str">
        <x:v>Input convention</x:v>
      </x:c>
      <x:c r="B16" s="13"/>
      <x:c r="C16" s="13"/>
      <x:c r="D16" s="13"/>
      <x:c r="E16" s="13"/>
      <x:c r="F16" s="13"/>
      <x:c r="G16" s="13"/>
      <x:c r="H16" s="13"/>
    </x:row>
    <x:row r="17" ht="28" customHeight="1">
      <x:c r="A17" s="18" t="str">
        <x:v>Yellow headers identify fields intended for entry or import. Use one consistent supplier name, item ID, unit of measure, company code, location, and category. Every purchase should be tied to a business purpose: inventory replenishment, customer order, manufacturing order, service work order, construction project, vehicle repair/restoration, facility expense, or capital investment.</x:v>
      </x:c>
      <x:c r="B17" s="18"/>
      <x:c r="C17" s="18"/>
      <x:c r="D17" s="18"/>
      <x:c r="E17" s="18"/>
      <x:c r="F17" s="18"/>
      <x:c r="G17" s="18"/>
      <x:c r="H17" s="18"/>
    </x:row>
    <x:row r="18" ht="28" customHeight="1">
      <x:c r="A18" s="18"/>
      <x:c r="B18" s="18"/>
      <x:c r="C18" s="18"/>
      <x:c r="D18" s="18"/>
      <x:c r="E18" s="18"/>
      <x:c r="F18" s="18"/>
      <x:c r="G18" s="18"/>
      <x:c r="H18" s="18"/>
    </x:row>
    <x:row r="19" ht="28" customHeight="1">
      <x:c r="A19" s="18"/>
      <x:c r="B19" s="18"/>
      <x:c r="C19" s="18"/>
      <x:c r="D19" s="18"/>
      <x:c r="E19" s="18"/>
      <x:c r="F19" s="18"/>
      <x:c r="G19" s="18"/>
      <x:c r="H19" s="18"/>
    </x:row>
    <x:row r="20" ht="28" customHeight="1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3:H3"/>
    <x:mergeCell ref="A4:H6"/>
    <x:mergeCell ref="A16:H16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2" hidden="0" customWidth="1"/>
    <x:col min="4" max="4" width="38" hidden="0" customWidth="1"/>
  </x:cols>
  <x:sheetData>
    <x:row r="1">
      <x:c r="A1" s="5" t="str">
        <x:v>Company Scope</x:v>
      </x:c>
      <x:c r="B1" s="5"/>
      <x:c r="C1" s="5"/>
      <x:c r="D1" s="5"/>
    </x:row>
    <x:row r="3">
      <x:c r="A3" s="24" t="str">
        <x:v>Code</x:v>
      </x:c>
      <x:c r="B3" s="24" t="str">
        <x:v>Business</x:v>
      </x:c>
      <x:c r="C3" s="24" t="str">
        <x:v>Operating Scope</x:v>
      </x:c>
      <x:c r="D3" s="24" t="str">
        <x:v>Website</x:v>
      </x:c>
    </x:row>
    <x:row r="4">
      <x:c r="A4" s="18" t="str">
        <x:v>GC</x:v>
      </x:c>
      <x:c r="B4" s="18" t="str">
        <x:v>Gruber Communications</x:v>
      </x:c>
      <x:c r="C4" s="18" t="str">
        <x:v>Manufacturing, distribution, custom cabling and network infrastructure</x:v>
      </x:c>
      <x:c r="D4" s="18" t="str">
        <x:v>https://grubercommunications.com/</x:v>
      </x:c>
    </x:row>
    <x:row r="5">
      <x:c r="A5" s="18" t="str">
        <x:v>GPS</x:v>
      </x:c>
      <x:c r="B5" s="18" t="str">
        <x:v>Gruber Power Services</x:v>
      </x:c>
      <x:c r="C5" s="18" t="str">
        <x:v>Critical power equipment, service, repair, maintenance and asset recovery</x:v>
      </x:c>
      <x:c r="D5" s="18" t="str">
        <x:v>https://gruberpower.com/</x:v>
      </x:c>
    </x:row>
    <x:row r="6">
      <x:c r="A6" s="18" t="str">
        <x:v>GTS</x:v>
      </x:c>
      <x:c r="B6" s="18" t="str">
        <x:v>Gruber Technical Services</x:v>
      </x:c>
      <x:c r="C6" s="18" t="str">
        <x:v>Electrical, structured cabling, data-center construction and raised flooring</x:v>
      </x:c>
      <x:c r="D6" s="18" t="str">
        <x:v>https://grubertechnical.com/</x:v>
      </x:c>
    </x:row>
    <x:row r="7">
      <x:c r="A7" s="18" t="str">
        <x:v>GMC</x:v>
      </x:c>
      <x:c r="B7" s="18" t="str">
        <x:v>Gruber Motor Company</x:v>
      </x:c>
      <x:c r="C7" s="18" t="str">
        <x:v>Tesla and EV repair, engineering, restoration, parts and vehicle support</x:v>
      </x:c>
      <x:c r="D7" s="18" t="str">
        <x:v>https://grubermotors.com/</x:v>
      </x:c>
    </x:row>
    <x:row r="8">
      <x:c r="A8" s="18" t="str">
        <x:v>EVP</x:v>
      </x:c>
      <x:c r="B8" s="18" t="str">
        <x:v>EV Preserve</x:v>
      </x:c>
      <x:c r="C8" s="18" t="str">
        <x:v>Managed storage, monitoring and preservation for collectible electric vehicles</x:v>
      </x:c>
      <x:c r="D8" s="18" t="str">
        <x:v>https://evpreserve.com/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20" hidden="0" customWidth="1"/>
    <x:col min="5" max="5" width="40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" t="str">
        <x:v>Company Discovery &amp; Process Assessment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4" t="str">
        <x:v>Company Code</x:v>
      </x:c>
      <x:c r="B3" s="34" t="str">
        <x:v>Function</x:v>
      </x:c>
      <x:c r="C3" s="34" t="str">
        <x:v>Process Owner</x:v>
      </x:c>
      <x:c r="D3" s="34" t="str">
        <x:v>Current System</x:v>
      </x:c>
      <x:c r="E3" s="34" t="str">
        <x:v>Current Process Summary</x:v>
      </x:c>
      <x:c r="F3" s="34" t="str">
        <x:v>Primary Pain Point</x:v>
      </x:c>
      <x:c r="G3" s="34" t="str">
        <x:v>Data Available?</x:v>
      </x:c>
      <x:c r="H3" s="34" t="str">
        <x:v>Risk</x:v>
      </x:c>
      <x:c r="I3" s="34" t="str">
        <x:v>Priority</x:v>
      </x:c>
      <x:c r="J3" s="34" t="str">
        <x:v>Next Action</x:v>
      </x:c>
    </x:row>
    <x:row r="4">
      <x:c r="A4" s="18" t="str">
        <x:v>GC</x:v>
      </x:c>
      <x:c r="B4" s="18" t="str">
        <x:v>Purchasing</x:v>
      </x:c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</x:row>
    <x:row r="5">
      <x:c r="A5" s="18" t="str">
        <x:v>GC</x:v>
      </x:c>
      <x:c r="B5" s="18" t="str">
        <x:v>Inventory/Warehouse</x:v>
      </x:c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</x:row>
    <x:row r="6">
      <x:c r="A6" s="18" t="str">
        <x:v>GC</x:v>
      </x:c>
      <x:c r="B6" s="18" t="str">
        <x:v>Sales</x:v>
      </x:c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</x:row>
    <x:row r="7">
      <x:c r="A7" s="18" t="str">
        <x:v>GC</x:v>
      </x:c>
      <x:c r="B7" s="18" t="str">
        <x:v>Operations</x:v>
      </x:c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</x:row>
    <x:row r="8">
      <x:c r="A8" s="18" t="str">
        <x:v>GC</x:v>
      </x:c>
      <x:c r="B8" s="18" t="str">
        <x:v>Manufacturing</x:v>
      </x:c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</x:row>
    <x:row r="9">
      <x:c r="A9" s="18" t="str">
        <x:v>GC</x:v>
      </x:c>
      <x:c r="B9" s="18" t="str">
        <x:v>Accounting</x:v>
      </x:c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</x:row>
    <x:row r="10">
      <x:c r="A10" s="18" t="str">
        <x:v>GC</x:v>
      </x:c>
      <x:c r="B10" s="18" t="str">
        <x:v>Service</x:v>
      </x:c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</x:row>
    <x:row r="11">
      <x:c r="A11" s="18" t="str">
        <x:v>GC</x:v>
      </x:c>
      <x:c r="B11" s="18" t="str">
        <x:v>Project Management</x:v>
      </x:c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</x:row>
    <x:row r="12">
      <x:c r="A12" s="18" t="str">
        <x:v>GC</x:v>
      </x:c>
      <x:c r="B12" s="18" t="str">
        <x:v>Leadership</x:v>
      </x:c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</x:row>
    <x:row r="13">
      <x:c r="A13" s="18" t="str">
        <x:v>GC</x:v>
      </x:c>
      <x:c r="B13" s="18" t="str">
        <x:v>IT/Data</x:v>
      </x:c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</x:row>
    <x:row r="14">
      <x:c r="A14" s="18" t="str">
        <x:v>GPS</x:v>
      </x:c>
      <x:c r="B14" s="18" t="str">
        <x:v>Purchasing</x:v>
      </x:c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</x:row>
    <x:row r="15">
      <x:c r="A15" s="18" t="str">
        <x:v>GPS</x:v>
      </x:c>
      <x:c r="B15" s="18" t="str">
        <x:v>Inventory/Warehouse</x:v>
      </x:c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</x:row>
    <x:row r="16">
      <x:c r="A16" s="18" t="str">
        <x:v>GPS</x:v>
      </x:c>
      <x:c r="B16" s="18" t="str">
        <x:v>Sales</x:v>
      </x:c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</x:row>
    <x:row r="17">
      <x:c r="A17" s="18" t="str">
        <x:v>GPS</x:v>
      </x:c>
      <x:c r="B17" s="18" t="str">
        <x:v>Operations</x:v>
      </x:c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</x:row>
    <x:row r="18">
      <x:c r="A18" s="18" t="str">
        <x:v>GPS</x:v>
      </x:c>
      <x:c r="B18" s="18" t="str">
        <x:v>Manufacturing</x:v>
      </x:c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</x:row>
    <x:row r="19">
      <x:c r="A19" s="18" t="str">
        <x:v>GPS</x:v>
      </x:c>
      <x:c r="B19" s="18" t="str">
        <x:v>Accounting</x:v>
      </x:c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</x:row>
    <x:row r="20">
      <x:c r="A20" s="18" t="str">
        <x:v>GPS</x:v>
      </x:c>
      <x:c r="B20" s="18" t="str">
        <x:v>Service</x:v>
      </x:c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</x:row>
    <x:row r="21">
      <x:c r="A21" s="18" t="str">
        <x:v>GPS</x:v>
      </x:c>
      <x:c r="B21" s="18" t="str">
        <x:v>Project Management</x:v>
      </x:c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</x:row>
    <x:row r="22">
      <x:c r="A22" s="18" t="str">
        <x:v>GPS</x:v>
      </x:c>
      <x:c r="B22" s="18" t="str">
        <x:v>Leadership</x:v>
      </x:c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</x:row>
    <x:row r="23">
      <x:c r="A23" s="18" t="str">
        <x:v>GPS</x:v>
      </x:c>
      <x:c r="B23" s="18" t="str">
        <x:v>IT/Data</x:v>
      </x:c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</x:row>
    <x:row r="24">
      <x:c r="A24" s="18" t="str">
        <x:v>GTS</x:v>
      </x:c>
      <x:c r="B24" s="18" t="str">
        <x:v>Purchasing</x:v>
      </x:c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</x:row>
    <x:row r="25">
      <x:c r="A25" s="18" t="str">
        <x:v>GTS</x:v>
      </x:c>
      <x:c r="B25" s="18" t="str">
        <x:v>Inventory/Warehouse</x:v>
      </x:c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</x:row>
    <x:row r="26">
      <x:c r="A26" s="18" t="str">
        <x:v>GTS</x:v>
      </x:c>
      <x:c r="B26" s="18" t="str">
        <x:v>Sales</x:v>
      </x:c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</x:row>
    <x:row r="27">
      <x:c r="A27" s="18" t="str">
        <x:v>GTS</x:v>
      </x:c>
      <x:c r="B27" s="18" t="str">
        <x:v>Operations</x:v>
      </x:c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</x:row>
    <x:row r="28">
      <x:c r="A28" s="18" t="str">
        <x:v>GTS</x:v>
      </x:c>
      <x:c r="B28" s="18" t="str">
        <x:v>Manufacturing</x:v>
      </x:c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</x:row>
    <x:row r="29">
      <x:c r="A29" s="18" t="str">
        <x:v>GTS</x:v>
      </x:c>
      <x:c r="B29" s="18" t="str">
        <x:v>Accounting</x:v>
      </x:c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</x:row>
    <x:row r="30">
      <x:c r="A30" s="18" t="str">
        <x:v>GTS</x:v>
      </x:c>
      <x:c r="B30" s="18" t="str">
        <x:v>Service</x:v>
      </x:c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</x:row>
    <x:row r="31">
      <x:c r="A31" s="18" t="str">
        <x:v>GTS</x:v>
      </x:c>
      <x:c r="B31" s="18" t="str">
        <x:v>Project Management</x:v>
      </x:c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</x:row>
    <x:row r="32">
      <x:c r="A32" s="18" t="str">
        <x:v>GTS</x:v>
      </x:c>
      <x:c r="B32" s="18" t="str">
        <x:v>Leadership</x:v>
      </x:c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</x:row>
    <x:row r="33">
      <x:c r="A33" s="18" t="str">
        <x:v>GTS</x:v>
      </x:c>
      <x:c r="B33" s="18" t="str">
        <x:v>IT/Data</x:v>
      </x:c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</x:row>
    <x:row r="34">
      <x:c r="A34" s="18" t="str">
        <x:v>GMC</x:v>
      </x:c>
      <x:c r="B34" s="18" t="str">
        <x:v>Purchasing</x:v>
      </x:c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</x:row>
    <x:row r="35">
      <x:c r="A35" s="18" t="str">
        <x:v>GMC</x:v>
      </x:c>
      <x:c r="B35" s="18" t="str">
        <x:v>Inventory/Warehouse</x:v>
      </x:c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</x:row>
    <x:row r="36">
      <x:c r="A36" s="18" t="str">
        <x:v>GMC</x:v>
      </x:c>
      <x:c r="B36" s="18" t="str">
        <x:v>Sales</x:v>
      </x:c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</x:row>
    <x:row r="37">
      <x:c r="A37" s="18" t="str">
        <x:v>GMC</x:v>
      </x:c>
      <x:c r="B37" s="18" t="str">
        <x:v>Operations</x:v>
      </x:c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</x:row>
    <x:row r="38">
      <x:c r="A38" s="18" t="str">
        <x:v>GMC</x:v>
      </x:c>
      <x:c r="B38" s="18" t="str">
        <x:v>Manufacturing</x:v>
      </x:c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</x:row>
    <x:row r="39">
      <x:c r="A39" s="18" t="str">
        <x:v>GMC</x:v>
      </x:c>
      <x:c r="B39" s="18" t="str">
        <x:v>Accounting</x:v>
      </x:c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</x:row>
    <x:row r="40">
      <x:c r="A40" s="18" t="str">
        <x:v>GMC</x:v>
      </x:c>
      <x:c r="B40" s="18" t="str">
        <x:v>Service</x:v>
      </x:c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</x:row>
    <x:row r="41">
      <x:c r="A41" s="18" t="str">
        <x:v>GMC</x:v>
      </x:c>
      <x:c r="B41" s="18" t="str">
        <x:v>Project Management</x:v>
      </x:c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</x:row>
    <x:row r="42">
      <x:c r="A42" s="18" t="str">
        <x:v>GMC</x:v>
      </x:c>
      <x:c r="B42" s="18" t="str">
        <x:v>Leadership</x:v>
      </x:c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</x:row>
    <x:row r="43">
      <x:c r="A43" s="18" t="str">
        <x:v>GMC</x:v>
      </x:c>
      <x:c r="B43" s="18" t="str">
        <x:v>IT/Data</x:v>
      </x:c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</x:row>
    <x:row r="44">
      <x:c r="A44" s="18" t="str">
        <x:v>EVP</x:v>
      </x:c>
      <x:c r="B44" s="18" t="str">
        <x:v>Purchasing</x:v>
      </x:c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</x:row>
    <x:row r="45">
      <x:c r="A45" s="18" t="str">
        <x:v>EVP</x:v>
      </x:c>
      <x:c r="B45" s="18" t="str">
        <x:v>Inventory/Warehouse</x:v>
      </x:c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</x:row>
    <x:row r="46">
      <x:c r="A46" s="18" t="str">
        <x:v>EVP</x:v>
      </x:c>
      <x:c r="B46" s="18" t="str">
        <x:v>Sales</x:v>
      </x:c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</x:row>
    <x:row r="47">
      <x:c r="A47" s="18" t="str">
        <x:v>EVP</x:v>
      </x:c>
      <x:c r="B47" s="18" t="str">
        <x:v>Operations</x:v>
      </x:c>
      <x:c r="C47" s="18" t="str"/>
      <x:c r="D47" s="18" t="str"/>
      <x:c r="E47" s="18" t="str"/>
      <x:c r="F47" s="18" t="str"/>
      <x:c r="G47" s="18" t="str"/>
      <x:c r="H47" s="18" t="str"/>
      <x:c r="I47" s="18" t="str"/>
      <x:c r="J47" s="18" t="str"/>
    </x:row>
    <x:row r="48">
      <x:c r="A48" s="18" t="str">
        <x:v>EVP</x:v>
      </x:c>
      <x:c r="B48" s="18" t="str">
        <x:v>Manufacturing</x:v>
      </x:c>
      <x:c r="C48" s="18" t="str"/>
      <x:c r="D48" s="18" t="str"/>
      <x:c r="E48" s="18" t="str"/>
      <x:c r="F48" s="18" t="str"/>
      <x:c r="G48" s="18" t="str"/>
      <x:c r="H48" s="18" t="str"/>
      <x:c r="I48" s="18" t="str"/>
      <x:c r="J48" s="18" t="str"/>
    </x:row>
    <x:row r="49">
      <x:c r="A49" s="18" t="str">
        <x:v>EVP</x:v>
      </x:c>
      <x:c r="B49" s="18" t="str">
        <x:v>Accounting</x:v>
      </x:c>
      <x:c r="C49" s="18" t="str"/>
      <x:c r="D49" s="18" t="str"/>
      <x:c r="E49" s="18" t="str"/>
      <x:c r="F49" s="18" t="str"/>
      <x:c r="G49" s="18" t="str"/>
      <x:c r="H49" s="18" t="str"/>
      <x:c r="I49" s="18" t="str"/>
      <x:c r="J49" s="18" t="str"/>
    </x:row>
    <x:row r="50">
      <x:c r="A50" s="18" t="str">
        <x:v>EVP</x:v>
      </x:c>
      <x:c r="B50" s="18" t="str">
        <x:v>Service</x:v>
      </x:c>
      <x:c r="C50" s="18" t="str"/>
      <x:c r="D50" s="18" t="str"/>
      <x:c r="E50" s="18" t="str"/>
      <x:c r="F50" s="18" t="str"/>
      <x:c r="G50" s="18" t="str"/>
      <x:c r="H50" s="18" t="str"/>
      <x:c r="I50" s="18" t="str"/>
      <x:c r="J50" s="18" t="str"/>
    </x:row>
    <x:row r="51">
      <x:c r="A51" s="18" t="str">
        <x:v>EVP</x:v>
      </x:c>
      <x:c r="B51" s="18" t="str">
        <x:v>Project Management</x:v>
      </x:c>
      <x:c r="C51" s="18" t="str"/>
      <x:c r="D51" s="18" t="str"/>
      <x:c r="E51" s="18" t="str"/>
      <x:c r="F51" s="18" t="str"/>
      <x:c r="G51" s="18" t="str"/>
      <x:c r="H51" s="18" t="str"/>
      <x:c r="I51" s="18" t="str"/>
      <x:c r="J51" s="18" t="str"/>
    </x:row>
    <x:row r="52">
      <x:c r="A52" s="18" t="str">
        <x:v>EVP</x:v>
      </x:c>
      <x:c r="B52" s="18" t="str">
        <x:v>Leadership</x:v>
      </x:c>
      <x:c r="C52" s="18" t="str"/>
      <x:c r="D52" s="18" t="str"/>
      <x:c r="E52" s="18" t="str"/>
      <x:c r="F52" s="18" t="str"/>
      <x:c r="G52" s="18" t="str"/>
      <x:c r="H52" s="18" t="str"/>
      <x:c r="I52" s="18" t="str"/>
      <x:c r="J52" s="18" t="str"/>
    </x:row>
    <x:row r="53">
      <x:c r="A53" s="18" t="str">
        <x:v>EVP</x:v>
      </x:c>
      <x:c r="B53" s="18" t="str">
        <x:v>IT/Data</x:v>
      </x:c>
      <x:c r="C53" s="18" t="str"/>
      <x:c r="D53" s="18" t="str"/>
      <x:c r="E53" s="18" t="str"/>
      <x:c r="F53" s="18" t="str"/>
      <x:c r="G53" s="18" t="str"/>
      <x:c r="H53" s="18" t="str"/>
      <x:c r="I53" s="18" t="str"/>
      <x:c r="J53" s="18" t="str"/>
    </x:row>
  </x:sheetData>
  <x:mergeCells>
    <x:mergeCell ref="A1:J1"/>
  </x:mergeCells>
  <x:dataValidations count="3">
    <x:dataValidation type="list" sqref="G4:G53">
      <x:formula1>"Yes,Partial,No"</x:formula1>
    </x:dataValidation>
    <x:dataValidation type="list" sqref="H4:H53">
      <x:formula1>"Low,Medium,High,Critical"</x:formula1>
    </x:dataValidation>
    <x:dataValidation type="list" sqref="I4:I53">
      <x:formula1>"1-Immediate,2-30 Days,3-90 Days,4-Later"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22" hidden="0" customWidth="1"/>
    <x:col min="7" max="7" width="28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6" hidden="0" customWidth="1"/>
    <x:col min="15" max="15" width="16" hidden="0" customWidth="1"/>
    <x:col min="16" max="16" width="18" hidden="0" customWidth="1"/>
    <x:col min="17" max="17" width="38" hidden="0" customWidth="1"/>
  </x:cols>
  <x:sheetData>
    <x:row r="1">
      <x:c r="A1" s="5" t="str">
        <x:v>Centralized Supplier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3">
      <x:c r="A3" s="34" t="str">
        <x:v>Supplier ID</x:v>
      </x:c>
      <x:c r="B3" s="34" t="str">
        <x:v>Normalized Supplier Name</x:v>
      </x:c>
      <x:c r="C3" s="34" t="str">
        <x:v>Legal Name</x:v>
      </x:c>
      <x:c r="D3" s="34" t="str">
        <x:v>Primary Category</x:v>
      </x:c>
      <x:c r="E3" s="34" t="str">
        <x:v>Companies Served</x:v>
      </x:c>
      <x:c r="F3" s="34" t="str">
        <x:v>Contact Name</x:v>
      </x:c>
      <x:c r="G3" s="34" t="str">
        <x:v>Email</x:v>
      </x:c>
      <x:c r="H3" s="34" t="str">
        <x:v>Phone</x:v>
      </x:c>
      <x:c r="I3" s="34" t="str">
        <x:v>Payment Terms</x:v>
      </x:c>
      <x:c r="J3" s="34" t="str">
        <x:v>Contract Start</x:v>
      </x:c>
      <x:c r="K3" s="34" t="str">
        <x:v>Contract End</x:v>
      </x:c>
      <x:c r="L3" s="34" t="str">
        <x:v>Preferred?</x:v>
      </x:c>
      <x:c r="M3" s="34" t="str">
        <x:v>Risk Rating</x:v>
      </x:c>
      <x:c r="N3" s="34" t="str">
        <x:v>Annual Spend</x:v>
      </x:c>
      <x:c r="O3" s="34" t="str">
        <x:v>On-Time Delivery %</x:v>
      </x:c>
      <x:c r="P3" s="34" t="str">
        <x:v>Quality Acceptance %</x:v>
      </x:c>
      <x:c r="Q3" s="34" t="str">
        <x:v>Notes</x:v>
      </x:c>
    </x:row>
    <x:row r="4">
      <x:c r="J4" s="40"/>
      <x:c r="K4" s="40"/>
      <x:c r="N4" s="42"/>
      <x:c r="O4" s="44"/>
      <x:c r="P4" s="44"/>
    </x:row>
    <x:row r="5">
      <x:c r="J5" s="40"/>
      <x:c r="K5" s="40"/>
      <x:c r="N5" s="42"/>
      <x:c r="O5" s="44"/>
      <x:c r="P5" s="44"/>
    </x:row>
    <x:row r="6">
      <x:c r="J6" s="40"/>
      <x:c r="K6" s="40"/>
      <x:c r="N6" s="42"/>
      <x:c r="O6" s="44"/>
      <x:c r="P6" s="44"/>
    </x:row>
    <x:row r="7">
      <x:c r="J7" s="40"/>
      <x:c r="K7" s="40"/>
      <x:c r="N7" s="42"/>
      <x:c r="O7" s="44"/>
      <x:c r="P7" s="44"/>
    </x:row>
    <x:row r="8">
      <x:c r="J8" s="40"/>
      <x:c r="K8" s="40"/>
      <x:c r="N8" s="42"/>
      <x:c r="O8" s="44"/>
      <x:c r="P8" s="44"/>
    </x:row>
    <x:row r="9">
      <x:c r="J9" s="40"/>
      <x:c r="K9" s="40"/>
      <x:c r="N9" s="42"/>
      <x:c r="O9" s="44"/>
      <x:c r="P9" s="44"/>
    </x:row>
    <x:row r="10">
      <x:c r="J10" s="40"/>
      <x:c r="K10" s="40"/>
      <x:c r="N10" s="42"/>
      <x:c r="O10" s="44"/>
      <x:c r="P10" s="44"/>
    </x:row>
    <x:row r="11">
      <x:c r="J11" s="40"/>
      <x:c r="K11" s="40"/>
      <x:c r="N11" s="42"/>
      <x:c r="O11" s="44"/>
      <x:c r="P11" s="44"/>
    </x:row>
    <x:row r="12">
      <x:c r="J12" s="40"/>
      <x:c r="K12" s="40"/>
      <x:c r="N12" s="42"/>
      <x:c r="O12" s="44"/>
      <x:c r="P12" s="44"/>
    </x:row>
    <x:row r="13">
      <x:c r="J13" s="40"/>
      <x:c r="K13" s="40"/>
      <x:c r="N13" s="42"/>
      <x:c r="O13" s="44"/>
      <x:c r="P13" s="44"/>
    </x:row>
    <x:row r="14">
      <x:c r="J14" s="40"/>
      <x:c r="K14" s="40"/>
      <x:c r="N14" s="42"/>
      <x:c r="O14" s="44"/>
      <x:c r="P14" s="44"/>
    </x:row>
    <x:row r="15">
      <x:c r="J15" s="40"/>
      <x:c r="K15" s="40"/>
      <x:c r="N15" s="42"/>
      <x:c r="O15" s="44"/>
      <x:c r="P15" s="44"/>
    </x:row>
    <x:row r="16">
      <x:c r="J16" s="40"/>
      <x:c r="K16" s="40"/>
      <x:c r="N16" s="42"/>
      <x:c r="O16" s="44"/>
      <x:c r="P16" s="44"/>
    </x:row>
    <x:row r="17">
      <x:c r="J17" s="40"/>
      <x:c r="K17" s="40"/>
      <x:c r="N17" s="42"/>
      <x:c r="O17" s="44"/>
      <x:c r="P17" s="44"/>
    </x:row>
    <x:row r="18">
      <x:c r="J18" s="40"/>
      <x:c r="K18" s="40"/>
      <x:c r="N18" s="42"/>
      <x:c r="O18" s="44"/>
      <x:c r="P18" s="44"/>
    </x:row>
    <x:row r="19">
      <x:c r="J19" s="40"/>
      <x:c r="K19" s="40"/>
      <x:c r="N19" s="42"/>
      <x:c r="O19" s="44"/>
      <x:c r="P19" s="44"/>
    </x:row>
    <x:row r="20">
      <x:c r="J20" s="40"/>
      <x:c r="K20" s="40"/>
      <x:c r="N20" s="42"/>
      <x:c r="O20" s="44"/>
      <x:c r="P20" s="44"/>
    </x:row>
    <x:row r="21">
      <x:c r="J21" s="40"/>
      <x:c r="K21" s="40"/>
      <x:c r="N21" s="42"/>
      <x:c r="O21" s="44"/>
      <x:c r="P21" s="44"/>
    </x:row>
    <x:row r="22">
      <x:c r="J22" s="40"/>
      <x:c r="K22" s="40"/>
      <x:c r="N22" s="42"/>
      <x:c r="O22" s="44"/>
      <x:c r="P22" s="44"/>
    </x:row>
    <x:row r="23">
      <x:c r="J23" s="40"/>
      <x:c r="K23" s="40"/>
      <x:c r="N23" s="42"/>
      <x:c r="O23" s="44"/>
      <x:c r="P23" s="44"/>
    </x:row>
    <x:row r="24">
      <x:c r="J24" s="40"/>
      <x:c r="K24" s="40"/>
      <x:c r="N24" s="42"/>
      <x:c r="O24" s="44"/>
      <x:c r="P24" s="44"/>
    </x:row>
    <x:row r="25">
      <x:c r="J25" s="40"/>
      <x:c r="K25" s="40"/>
      <x:c r="N25" s="42"/>
      <x:c r="O25" s="44"/>
      <x:c r="P25" s="44"/>
    </x:row>
    <x:row r="26">
      <x:c r="J26" s="40"/>
      <x:c r="K26" s="40"/>
      <x:c r="N26" s="42"/>
      <x:c r="O26" s="44"/>
      <x:c r="P26" s="44"/>
    </x:row>
    <x:row r="27">
      <x:c r="J27" s="40"/>
      <x:c r="K27" s="40"/>
      <x:c r="N27" s="42"/>
      <x:c r="O27" s="44"/>
      <x:c r="P27" s="44"/>
    </x:row>
    <x:row r="28">
      <x:c r="J28" s="40"/>
      <x:c r="K28" s="40"/>
      <x:c r="N28" s="42"/>
      <x:c r="O28" s="44"/>
      <x:c r="P28" s="44"/>
    </x:row>
    <x:row r="29">
      <x:c r="J29" s="40"/>
      <x:c r="K29" s="40"/>
      <x:c r="N29" s="42"/>
      <x:c r="O29" s="44"/>
      <x:c r="P29" s="44"/>
    </x:row>
    <x:row r="30">
      <x:c r="J30" s="40"/>
      <x:c r="K30" s="40"/>
      <x:c r="N30" s="42"/>
      <x:c r="O30" s="44"/>
      <x:c r="P30" s="44"/>
    </x:row>
    <x:row r="31">
      <x:c r="J31" s="40"/>
      <x:c r="K31" s="40"/>
      <x:c r="N31" s="42"/>
      <x:c r="O31" s="44"/>
      <x:c r="P31" s="44"/>
    </x:row>
    <x:row r="32">
      <x:c r="J32" s="40"/>
      <x:c r="K32" s="40"/>
      <x:c r="N32" s="42"/>
      <x:c r="O32" s="44"/>
      <x:c r="P32" s="44"/>
    </x:row>
    <x:row r="33">
      <x:c r="J33" s="40"/>
      <x:c r="K33" s="40"/>
      <x:c r="N33" s="42"/>
      <x:c r="O33" s="44"/>
      <x:c r="P33" s="44"/>
    </x:row>
    <x:row r="34">
      <x:c r="J34" s="40"/>
      <x:c r="K34" s="40"/>
      <x:c r="N34" s="42"/>
      <x:c r="O34" s="44"/>
      <x:c r="P34" s="44"/>
    </x:row>
    <x:row r="35">
      <x:c r="J35" s="40"/>
      <x:c r="K35" s="40"/>
      <x:c r="N35" s="42"/>
      <x:c r="O35" s="44"/>
      <x:c r="P35" s="44"/>
    </x:row>
    <x:row r="36">
      <x:c r="J36" s="40"/>
      <x:c r="K36" s="40"/>
      <x:c r="N36" s="42"/>
      <x:c r="O36" s="44"/>
      <x:c r="P36" s="44"/>
    </x:row>
    <x:row r="37">
      <x:c r="J37" s="40"/>
      <x:c r="K37" s="40"/>
      <x:c r="N37" s="42"/>
      <x:c r="O37" s="44"/>
      <x:c r="P37" s="44"/>
    </x:row>
    <x:row r="38">
      <x:c r="J38" s="40"/>
      <x:c r="K38" s="40"/>
      <x:c r="N38" s="42"/>
      <x:c r="O38" s="44"/>
      <x:c r="P38" s="44"/>
    </x:row>
    <x:row r="39">
      <x:c r="J39" s="40"/>
      <x:c r="K39" s="40"/>
      <x:c r="N39" s="42"/>
      <x:c r="O39" s="44"/>
      <x:c r="P39" s="44"/>
    </x:row>
    <x:row r="40">
      <x:c r="J40" s="40"/>
      <x:c r="K40" s="40"/>
      <x:c r="N40" s="42"/>
      <x:c r="O40" s="44"/>
      <x:c r="P40" s="44"/>
    </x:row>
    <x:row r="41">
      <x:c r="J41" s="40"/>
      <x:c r="K41" s="40"/>
      <x:c r="N41" s="42"/>
      <x:c r="O41" s="44"/>
      <x:c r="P41" s="44"/>
    </x:row>
    <x:row r="42">
      <x:c r="J42" s="40"/>
      <x:c r="K42" s="40"/>
      <x:c r="N42" s="42"/>
      <x:c r="O42" s="44"/>
      <x:c r="P42" s="44"/>
    </x:row>
    <x:row r="43">
      <x:c r="J43" s="40"/>
      <x:c r="K43" s="40"/>
      <x:c r="N43" s="42"/>
      <x:c r="O43" s="44"/>
      <x:c r="P43" s="44"/>
    </x:row>
    <x:row r="44">
      <x:c r="J44" s="40"/>
      <x:c r="K44" s="40"/>
      <x:c r="N44" s="42"/>
      <x:c r="O44" s="44"/>
      <x:c r="P44" s="44"/>
    </x:row>
    <x:row r="45">
      <x:c r="J45" s="40"/>
      <x:c r="K45" s="40"/>
      <x:c r="N45" s="42"/>
      <x:c r="O45" s="44"/>
      <x:c r="P45" s="44"/>
    </x:row>
    <x:row r="46">
      <x:c r="J46" s="40"/>
      <x:c r="K46" s="40"/>
      <x:c r="N46" s="42"/>
      <x:c r="O46" s="44"/>
      <x:c r="P46" s="44"/>
    </x:row>
    <x:row r="47">
      <x:c r="J47" s="40"/>
      <x:c r="K47" s="40"/>
      <x:c r="N47" s="42"/>
      <x:c r="O47" s="44"/>
      <x:c r="P47" s="44"/>
    </x:row>
    <x:row r="48">
      <x:c r="J48" s="40"/>
      <x:c r="K48" s="40"/>
      <x:c r="N48" s="42"/>
      <x:c r="O48" s="44"/>
      <x:c r="P48" s="44"/>
    </x:row>
    <x:row r="49">
      <x:c r="J49" s="40"/>
      <x:c r="K49" s="40"/>
      <x:c r="N49" s="42"/>
      <x:c r="O49" s="44"/>
      <x:c r="P49" s="44"/>
    </x:row>
    <x:row r="50">
      <x:c r="J50" s="40"/>
      <x:c r="K50" s="40"/>
      <x:c r="N50" s="42"/>
      <x:c r="O50" s="44"/>
      <x:c r="P50" s="44"/>
    </x:row>
    <x:row r="51">
      <x:c r="J51" s="40"/>
      <x:c r="K51" s="40"/>
      <x:c r="N51" s="42"/>
      <x:c r="O51" s="44"/>
      <x:c r="P51" s="44"/>
    </x:row>
    <x:row r="52">
      <x:c r="J52" s="40"/>
      <x:c r="K52" s="40"/>
      <x:c r="N52" s="42"/>
      <x:c r="O52" s="44"/>
      <x:c r="P52" s="44"/>
    </x:row>
    <x:row r="53">
      <x:c r="J53" s="40"/>
      <x:c r="K53" s="40"/>
      <x:c r="N53" s="42"/>
      <x:c r="O53" s="44"/>
      <x:c r="P53" s="44"/>
    </x:row>
    <x:row r="54">
      <x:c r="J54" s="40"/>
      <x:c r="K54" s="40"/>
      <x:c r="N54" s="42"/>
      <x:c r="O54" s="44"/>
      <x:c r="P54" s="44"/>
    </x:row>
    <x:row r="55">
      <x:c r="J55" s="40"/>
      <x:c r="K55" s="40"/>
      <x:c r="N55" s="42"/>
      <x:c r="O55" s="44"/>
      <x:c r="P55" s="44"/>
    </x:row>
    <x:row r="56">
      <x:c r="J56" s="40"/>
      <x:c r="K56" s="40"/>
      <x:c r="N56" s="42"/>
      <x:c r="O56" s="44"/>
      <x:c r="P56" s="44"/>
    </x:row>
    <x:row r="57">
      <x:c r="J57" s="40"/>
      <x:c r="K57" s="40"/>
      <x:c r="N57" s="42"/>
      <x:c r="O57" s="44"/>
      <x:c r="P57" s="44"/>
    </x:row>
    <x:row r="58">
      <x:c r="J58" s="40"/>
      <x:c r="K58" s="40"/>
      <x:c r="N58" s="42"/>
      <x:c r="O58" s="44"/>
      <x:c r="P58" s="44"/>
    </x:row>
    <x:row r="59">
      <x:c r="J59" s="40"/>
      <x:c r="K59" s="40"/>
      <x:c r="N59" s="42"/>
      <x:c r="O59" s="44"/>
      <x:c r="P59" s="44"/>
    </x:row>
    <x:row r="60">
      <x:c r="J60" s="40"/>
      <x:c r="K60" s="40"/>
      <x:c r="N60" s="42"/>
      <x:c r="O60" s="44"/>
      <x:c r="P60" s="44"/>
    </x:row>
    <x:row r="61">
      <x:c r="J61" s="40"/>
      <x:c r="K61" s="40"/>
      <x:c r="N61" s="42"/>
      <x:c r="O61" s="44"/>
      <x:c r="P61" s="44"/>
    </x:row>
    <x:row r="62">
      <x:c r="J62" s="40"/>
      <x:c r="K62" s="40"/>
      <x:c r="N62" s="42"/>
      <x:c r="O62" s="44"/>
      <x:c r="P62" s="44"/>
    </x:row>
    <x:row r="63">
      <x:c r="J63" s="40"/>
      <x:c r="K63" s="40"/>
      <x:c r="N63" s="42"/>
      <x:c r="O63" s="44"/>
      <x:c r="P63" s="44"/>
    </x:row>
    <x:row r="64">
      <x:c r="J64" s="40"/>
      <x:c r="K64" s="40"/>
      <x:c r="N64" s="42"/>
      <x:c r="O64" s="44"/>
      <x:c r="P64" s="44"/>
    </x:row>
    <x:row r="65">
      <x:c r="J65" s="40"/>
      <x:c r="K65" s="40"/>
      <x:c r="N65" s="42"/>
      <x:c r="O65" s="44"/>
      <x:c r="P65" s="44"/>
    </x:row>
    <x:row r="66">
      <x:c r="J66" s="40"/>
      <x:c r="K66" s="40"/>
      <x:c r="N66" s="42"/>
      <x:c r="O66" s="44"/>
      <x:c r="P66" s="44"/>
    </x:row>
    <x:row r="67">
      <x:c r="J67" s="40"/>
      <x:c r="K67" s="40"/>
      <x:c r="N67" s="42"/>
      <x:c r="O67" s="44"/>
      <x:c r="P67" s="44"/>
    </x:row>
    <x:row r="68">
      <x:c r="J68" s="40"/>
      <x:c r="K68" s="40"/>
      <x:c r="N68" s="42"/>
      <x:c r="O68" s="44"/>
      <x:c r="P68" s="44"/>
    </x:row>
    <x:row r="69">
      <x:c r="J69" s="40"/>
      <x:c r="K69" s="40"/>
      <x:c r="N69" s="42"/>
      <x:c r="O69" s="44"/>
      <x:c r="P69" s="44"/>
    </x:row>
    <x:row r="70">
      <x:c r="J70" s="40"/>
      <x:c r="K70" s="40"/>
      <x:c r="N70" s="42"/>
      <x:c r="O70" s="44"/>
      <x:c r="P70" s="44"/>
    </x:row>
    <x:row r="71">
      <x:c r="J71" s="40"/>
      <x:c r="K71" s="40"/>
      <x:c r="N71" s="42"/>
      <x:c r="O71" s="44"/>
      <x:c r="P71" s="44"/>
    </x:row>
    <x:row r="72">
      <x:c r="J72" s="40"/>
      <x:c r="K72" s="40"/>
      <x:c r="N72" s="42"/>
      <x:c r="O72" s="44"/>
      <x:c r="P72" s="44"/>
    </x:row>
    <x:row r="73">
      <x:c r="J73" s="40"/>
      <x:c r="K73" s="40"/>
      <x:c r="N73" s="42"/>
      <x:c r="O73" s="44"/>
      <x:c r="P73" s="44"/>
    </x:row>
    <x:row r="74">
      <x:c r="J74" s="40"/>
      <x:c r="K74" s="40"/>
      <x:c r="N74" s="42"/>
      <x:c r="O74" s="44"/>
      <x:c r="P74" s="44"/>
    </x:row>
    <x:row r="75">
      <x:c r="J75" s="40"/>
      <x:c r="K75" s="40"/>
      <x:c r="N75" s="42"/>
      <x:c r="O75" s="44"/>
      <x:c r="P75" s="44"/>
    </x:row>
    <x:row r="76">
      <x:c r="J76" s="40"/>
      <x:c r="K76" s="40"/>
      <x:c r="N76" s="42"/>
      <x:c r="O76" s="44"/>
      <x:c r="P76" s="44"/>
    </x:row>
    <x:row r="77">
      <x:c r="J77" s="40"/>
      <x:c r="K77" s="40"/>
      <x:c r="N77" s="42"/>
      <x:c r="O77" s="44"/>
      <x:c r="P77" s="44"/>
    </x:row>
    <x:row r="78">
      <x:c r="J78" s="40"/>
      <x:c r="K78" s="40"/>
      <x:c r="N78" s="42"/>
      <x:c r="O78" s="44"/>
      <x:c r="P78" s="44"/>
    </x:row>
    <x:row r="79">
      <x:c r="J79" s="40"/>
      <x:c r="K79" s="40"/>
      <x:c r="N79" s="42"/>
      <x:c r="O79" s="44"/>
      <x:c r="P79" s="44"/>
    </x:row>
    <x:row r="80">
      <x:c r="J80" s="40"/>
      <x:c r="K80" s="40"/>
      <x:c r="N80" s="42"/>
      <x:c r="O80" s="44"/>
      <x:c r="P80" s="44"/>
    </x:row>
    <x:row r="81">
      <x:c r="J81" s="40"/>
      <x:c r="K81" s="40"/>
      <x:c r="N81" s="42"/>
      <x:c r="O81" s="44"/>
      <x:c r="P81" s="44"/>
    </x:row>
    <x:row r="82">
      <x:c r="J82" s="40"/>
      <x:c r="K82" s="40"/>
      <x:c r="N82" s="42"/>
      <x:c r="O82" s="44"/>
      <x:c r="P82" s="44"/>
    </x:row>
    <x:row r="83">
      <x:c r="J83" s="40"/>
      <x:c r="K83" s="40"/>
      <x:c r="N83" s="42"/>
      <x:c r="O83" s="44"/>
      <x:c r="P83" s="44"/>
    </x:row>
    <x:row r="84">
      <x:c r="J84" s="40"/>
      <x:c r="K84" s="40"/>
      <x:c r="N84" s="42"/>
      <x:c r="O84" s="44"/>
      <x:c r="P84" s="44"/>
    </x:row>
    <x:row r="85">
      <x:c r="J85" s="40"/>
      <x:c r="K85" s="40"/>
      <x:c r="N85" s="42"/>
      <x:c r="O85" s="44"/>
      <x:c r="P85" s="44"/>
    </x:row>
    <x:row r="86">
      <x:c r="J86" s="40"/>
      <x:c r="K86" s="40"/>
      <x:c r="N86" s="42"/>
      <x:c r="O86" s="44"/>
      <x:c r="P86" s="44"/>
    </x:row>
    <x:row r="87">
      <x:c r="J87" s="40"/>
      <x:c r="K87" s="40"/>
      <x:c r="N87" s="42"/>
      <x:c r="O87" s="44"/>
      <x:c r="P87" s="44"/>
    </x:row>
    <x:row r="88">
      <x:c r="J88" s="40"/>
      <x:c r="K88" s="40"/>
      <x:c r="N88" s="42"/>
      <x:c r="O88" s="44"/>
      <x:c r="P88" s="44"/>
    </x:row>
    <x:row r="89">
      <x:c r="J89" s="40"/>
      <x:c r="K89" s="40"/>
      <x:c r="N89" s="42"/>
      <x:c r="O89" s="44"/>
      <x:c r="P89" s="44"/>
    </x:row>
    <x:row r="90">
      <x:c r="J90" s="40"/>
      <x:c r="K90" s="40"/>
      <x:c r="N90" s="42"/>
      <x:c r="O90" s="44"/>
      <x:c r="P90" s="44"/>
    </x:row>
    <x:row r="91">
      <x:c r="J91" s="40"/>
      <x:c r="K91" s="40"/>
      <x:c r="N91" s="42"/>
      <x:c r="O91" s="44"/>
      <x:c r="P91" s="44"/>
    </x:row>
    <x:row r="92">
      <x:c r="J92" s="40"/>
      <x:c r="K92" s="40"/>
      <x:c r="N92" s="42"/>
      <x:c r="O92" s="44"/>
      <x:c r="P92" s="44"/>
    </x:row>
    <x:row r="93">
      <x:c r="J93" s="40"/>
      <x:c r="K93" s="40"/>
      <x:c r="N93" s="42"/>
      <x:c r="O93" s="44"/>
      <x:c r="P93" s="44"/>
    </x:row>
    <x:row r="94">
      <x:c r="J94" s="40"/>
      <x:c r="K94" s="40"/>
      <x:c r="N94" s="42"/>
      <x:c r="O94" s="44"/>
      <x:c r="P94" s="44"/>
    </x:row>
    <x:row r="95">
      <x:c r="J95" s="40"/>
      <x:c r="K95" s="40"/>
      <x:c r="N95" s="42"/>
      <x:c r="O95" s="44"/>
      <x:c r="P95" s="44"/>
    </x:row>
    <x:row r="96">
      <x:c r="J96" s="40"/>
      <x:c r="K96" s="40"/>
      <x:c r="N96" s="42"/>
      <x:c r="O96" s="44"/>
      <x:c r="P96" s="44"/>
    </x:row>
    <x:row r="97">
      <x:c r="J97" s="40"/>
      <x:c r="K97" s="40"/>
      <x:c r="N97" s="42"/>
      <x:c r="O97" s="44"/>
      <x:c r="P97" s="44"/>
    </x:row>
    <x:row r="98">
      <x:c r="J98" s="40"/>
      <x:c r="K98" s="40"/>
      <x:c r="N98" s="42"/>
      <x:c r="O98" s="44"/>
      <x:c r="P98" s="44"/>
    </x:row>
    <x:row r="99">
      <x:c r="J99" s="40"/>
      <x:c r="K99" s="40"/>
      <x:c r="N99" s="42"/>
      <x:c r="O99" s="44"/>
      <x:c r="P99" s="44"/>
    </x:row>
    <x:row r="100">
      <x:c r="J100" s="40"/>
      <x:c r="K100" s="40"/>
      <x:c r="N100" s="42"/>
      <x:c r="O100" s="44"/>
      <x:c r="P100" s="44"/>
    </x:row>
    <x:row r="101">
      <x:c r="J101" s="40"/>
      <x:c r="K101" s="40"/>
      <x:c r="N101" s="42"/>
      <x:c r="O101" s="44"/>
      <x:c r="P101" s="44"/>
    </x:row>
    <x:row r="102">
      <x:c r="J102" s="40"/>
      <x:c r="K102" s="40"/>
      <x:c r="N102" s="42"/>
      <x:c r="O102" s="44"/>
      <x:c r="P102" s="44"/>
    </x:row>
    <x:row r="103">
      <x:c r="J103" s="40"/>
      <x:c r="K103" s="40"/>
      <x:c r="N103" s="42"/>
      <x:c r="O103" s="44"/>
      <x:c r="P103" s="44"/>
    </x:row>
    <x:row r="104">
      <x:c r="J104" s="40"/>
      <x:c r="K104" s="40"/>
      <x:c r="N104" s="42"/>
      <x:c r="O104" s="44"/>
      <x:c r="P104" s="44"/>
    </x:row>
    <x:row r="105">
      <x:c r="J105" s="40"/>
      <x:c r="K105" s="40"/>
      <x:c r="N105" s="42"/>
      <x:c r="O105" s="44"/>
      <x:c r="P105" s="44"/>
    </x:row>
    <x:row r="106">
      <x:c r="J106" s="40"/>
      <x:c r="K106" s="40"/>
      <x:c r="N106" s="42"/>
      <x:c r="O106" s="44"/>
      <x:c r="P106" s="44"/>
    </x:row>
    <x:row r="107">
      <x:c r="J107" s="40"/>
      <x:c r="K107" s="40"/>
      <x:c r="N107" s="42"/>
      <x:c r="O107" s="44"/>
      <x:c r="P107" s="44"/>
    </x:row>
    <x:row r="108">
      <x:c r="J108" s="40"/>
      <x:c r="K108" s="40"/>
      <x:c r="N108" s="42"/>
      <x:c r="O108" s="44"/>
      <x:c r="P108" s="44"/>
    </x:row>
    <x:row r="109">
      <x:c r="J109" s="40"/>
      <x:c r="K109" s="40"/>
      <x:c r="N109" s="42"/>
      <x:c r="O109" s="44"/>
      <x:c r="P109" s="44"/>
    </x:row>
    <x:row r="110">
      <x:c r="J110" s="40"/>
      <x:c r="K110" s="40"/>
      <x:c r="N110" s="42"/>
      <x:c r="O110" s="44"/>
      <x:c r="P110" s="44"/>
    </x:row>
    <x:row r="111">
      <x:c r="J111" s="40"/>
      <x:c r="K111" s="40"/>
      <x:c r="N111" s="42"/>
      <x:c r="O111" s="44"/>
      <x:c r="P111" s="44"/>
    </x:row>
    <x:row r="112">
      <x:c r="J112" s="40"/>
      <x:c r="K112" s="40"/>
      <x:c r="N112" s="42"/>
      <x:c r="O112" s="44"/>
      <x:c r="P112" s="44"/>
    </x:row>
    <x:row r="113">
      <x:c r="J113" s="40"/>
      <x:c r="K113" s="40"/>
      <x:c r="N113" s="42"/>
      <x:c r="O113" s="44"/>
      <x:c r="P113" s="44"/>
    </x:row>
    <x:row r="114">
      <x:c r="J114" s="40"/>
      <x:c r="K114" s="40"/>
      <x:c r="N114" s="42"/>
      <x:c r="O114" s="44"/>
      <x:c r="P114" s="44"/>
    </x:row>
    <x:row r="115">
      <x:c r="J115" s="40"/>
      <x:c r="K115" s="40"/>
      <x:c r="N115" s="42"/>
      <x:c r="O115" s="44"/>
      <x:c r="P115" s="44"/>
    </x:row>
    <x:row r="116">
      <x:c r="J116" s="40"/>
      <x:c r="K116" s="40"/>
      <x:c r="N116" s="42"/>
      <x:c r="O116" s="44"/>
      <x:c r="P116" s="44"/>
    </x:row>
    <x:row r="117">
      <x:c r="J117" s="40"/>
      <x:c r="K117" s="40"/>
      <x:c r="N117" s="42"/>
      <x:c r="O117" s="44"/>
      <x:c r="P117" s="44"/>
    </x:row>
    <x:row r="118">
      <x:c r="J118" s="40"/>
      <x:c r="K118" s="40"/>
      <x:c r="N118" s="42"/>
      <x:c r="O118" s="44"/>
      <x:c r="P118" s="44"/>
    </x:row>
    <x:row r="119">
      <x:c r="J119" s="40"/>
      <x:c r="K119" s="40"/>
      <x:c r="N119" s="42"/>
      <x:c r="O119" s="44"/>
      <x:c r="P119" s="44"/>
    </x:row>
    <x:row r="120">
      <x:c r="J120" s="40"/>
      <x:c r="K120" s="40"/>
      <x:c r="N120" s="42"/>
      <x:c r="O120" s="44"/>
      <x:c r="P120" s="44"/>
    </x:row>
    <x:row r="121">
      <x:c r="J121" s="40"/>
      <x:c r="K121" s="40"/>
      <x:c r="N121" s="42"/>
      <x:c r="O121" s="44"/>
      <x:c r="P121" s="44"/>
    </x:row>
    <x:row r="122">
      <x:c r="J122" s="40"/>
      <x:c r="K122" s="40"/>
      <x:c r="N122" s="42"/>
      <x:c r="O122" s="44"/>
      <x:c r="P122" s="44"/>
    </x:row>
    <x:row r="123">
      <x:c r="J123" s="40"/>
      <x:c r="K123" s="40"/>
      <x:c r="N123" s="42"/>
      <x:c r="O123" s="44"/>
      <x:c r="P123" s="44"/>
    </x:row>
    <x:row r="124">
      <x:c r="J124" s="40"/>
      <x:c r="K124" s="40"/>
      <x:c r="N124" s="42"/>
      <x:c r="O124" s="44"/>
      <x:c r="P124" s="44"/>
    </x:row>
    <x:row r="125">
      <x:c r="J125" s="40"/>
      <x:c r="K125" s="40"/>
      <x:c r="N125" s="42"/>
      <x:c r="O125" s="44"/>
      <x:c r="P125" s="44"/>
    </x:row>
    <x:row r="126">
      <x:c r="J126" s="40"/>
      <x:c r="K126" s="40"/>
      <x:c r="N126" s="42"/>
      <x:c r="O126" s="44"/>
      <x:c r="P126" s="44"/>
    </x:row>
    <x:row r="127">
      <x:c r="J127" s="40"/>
      <x:c r="K127" s="40"/>
      <x:c r="N127" s="42"/>
      <x:c r="O127" s="44"/>
      <x:c r="P127" s="44"/>
    </x:row>
    <x:row r="128">
      <x:c r="J128" s="40"/>
      <x:c r="K128" s="40"/>
      <x:c r="N128" s="42"/>
      <x:c r="O128" s="44"/>
      <x:c r="P128" s="44"/>
    </x:row>
    <x:row r="129">
      <x:c r="J129" s="40"/>
      <x:c r="K129" s="40"/>
      <x:c r="N129" s="42"/>
      <x:c r="O129" s="44"/>
      <x:c r="P129" s="44"/>
    </x:row>
    <x:row r="130">
      <x:c r="J130" s="40"/>
      <x:c r="K130" s="40"/>
      <x:c r="N130" s="42"/>
      <x:c r="O130" s="44"/>
      <x:c r="P130" s="44"/>
    </x:row>
    <x:row r="131">
      <x:c r="J131" s="40"/>
      <x:c r="K131" s="40"/>
      <x:c r="N131" s="42"/>
      <x:c r="O131" s="44"/>
      <x:c r="P131" s="44"/>
    </x:row>
    <x:row r="132">
      <x:c r="J132" s="40"/>
      <x:c r="K132" s="40"/>
      <x:c r="N132" s="42"/>
      <x:c r="O132" s="44"/>
      <x:c r="P132" s="44"/>
    </x:row>
    <x:row r="133">
      <x:c r="J133" s="40"/>
      <x:c r="K133" s="40"/>
      <x:c r="N133" s="42"/>
      <x:c r="O133" s="44"/>
      <x:c r="P133" s="44"/>
    </x:row>
    <x:row r="134">
      <x:c r="J134" s="40"/>
      <x:c r="K134" s="40"/>
      <x:c r="N134" s="42"/>
      <x:c r="O134" s="44"/>
      <x:c r="P134" s="44"/>
    </x:row>
    <x:row r="135">
      <x:c r="J135" s="40"/>
      <x:c r="K135" s="40"/>
      <x:c r="N135" s="42"/>
      <x:c r="O135" s="44"/>
      <x:c r="P135" s="44"/>
    </x:row>
    <x:row r="136">
      <x:c r="J136" s="40"/>
      <x:c r="K136" s="40"/>
      <x:c r="N136" s="42"/>
      <x:c r="O136" s="44"/>
      <x:c r="P136" s="44"/>
    </x:row>
    <x:row r="137">
      <x:c r="J137" s="40"/>
      <x:c r="K137" s="40"/>
      <x:c r="N137" s="42"/>
      <x:c r="O137" s="44"/>
      <x:c r="P137" s="44"/>
    </x:row>
    <x:row r="138">
      <x:c r="J138" s="40"/>
      <x:c r="K138" s="40"/>
      <x:c r="N138" s="42"/>
      <x:c r="O138" s="44"/>
      <x:c r="P138" s="44"/>
    </x:row>
    <x:row r="139">
      <x:c r="J139" s="40"/>
      <x:c r="K139" s="40"/>
      <x:c r="N139" s="42"/>
      <x:c r="O139" s="44"/>
      <x:c r="P139" s="44"/>
    </x:row>
    <x:row r="140">
      <x:c r="J140" s="40"/>
      <x:c r="K140" s="40"/>
      <x:c r="N140" s="42"/>
      <x:c r="O140" s="44"/>
      <x:c r="P140" s="44"/>
    </x:row>
    <x:row r="141">
      <x:c r="J141" s="40"/>
      <x:c r="K141" s="40"/>
      <x:c r="N141" s="42"/>
      <x:c r="O141" s="44"/>
      <x:c r="P141" s="44"/>
    </x:row>
    <x:row r="142">
      <x:c r="J142" s="40"/>
      <x:c r="K142" s="40"/>
      <x:c r="N142" s="42"/>
      <x:c r="O142" s="44"/>
      <x:c r="P142" s="44"/>
    </x:row>
    <x:row r="143">
      <x:c r="J143" s="40"/>
      <x:c r="K143" s="40"/>
      <x:c r="N143" s="42"/>
      <x:c r="O143" s="44"/>
      <x:c r="P143" s="44"/>
    </x:row>
    <x:row r="144">
      <x:c r="J144" s="40"/>
      <x:c r="K144" s="40"/>
      <x:c r="N144" s="42"/>
      <x:c r="O144" s="44"/>
      <x:c r="P144" s="44"/>
    </x:row>
    <x:row r="145">
      <x:c r="J145" s="40"/>
      <x:c r="K145" s="40"/>
      <x:c r="N145" s="42"/>
      <x:c r="O145" s="44"/>
      <x:c r="P145" s="44"/>
    </x:row>
    <x:row r="146">
      <x:c r="J146" s="40"/>
      <x:c r="K146" s="40"/>
      <x:c r="N146" s="42"/>
      <x:c r="O146" s="44"/>
      <x:c r="P146" s="44"/>
    </x:row>
    <x:row r="147">
      <x:c r="J147" s="40"/>
      <x:c r="K147" s="40"/>
      <x:c r="N147" s="42"/>
      <x:c r="O147" s="44"/>
      <x:c r="P147" s="44"/>
    </x:row>
    <x:row r="148">
      <x:c r="J148" s="40"/>
      <x:c r="K148" s="40"/>
      <x:c r="N148" s="42"/>
      <x:c r="O148" s="44"/>
      <x:c r="P148" s="44"/>
    </x:row>
    <x:row r="149">
      <x:c r="J149" s="40"/>
      <x:c r="K149" s="40"/>
      <x:c r="N149" s="42"/>
      <x:c r="O149" s="44"/>
      <x:c r="P149" s="44"/>
    </x:row>
    <x:row r="150">
      <x:c r="J150" s="40"/>
      <x:c r="K150" s="40"/>
      <x:c r="N150" s="42"/>
      <x:c r="O150" s="44"/>
      <x:c r="P150" s="44"/>
    </x:row>
    <x:row r="151">
      <x:c r="J151" s="40"/>
      <x:c r="K151" s="40"/>
      <x:c r="N151" s="42"/>
      <x:c r="O151" s="44"/>
      <x:c r="P151" s="44"/>
    </x:row>
    <x:row r="152">
      <x:c r="J152" s="40"/>
      <x:c r="K152" s="40"/>
      <x:c r="N152" s="42"/>
      <x:c r="O152" s="44"/>
      <x:c r="P152" s="44"/>
    </x:row>
    <x:row r="153">
      <x:c r="J153" s="40"/>
      <x:c r="K153" s="40"/>
      <x:c r="N153" s="42"/>
      <x:c r="O153" s="44"/>
      <x:c r="P153" s="44"/>
    </x:row>
    <x:row r="154">
      <x:c r="J154" s="40"/>
      <x:c r="K154" s="40"/>
      <x:c r="N154" s="42"/>
      <x:c r="O154" s="44"/>
      <x:c r="P154" s="44"/>
    </x:row>
    <x:row r="155">
      <x:c r="J155" s="40"/>
      <x:c r="K155" s="40"/>
      <x:c r="N155" s="42"/>
      <x:c r="O155" s="44"/>
      <x:c r="P155" s="44"/>
    </x:row>
    <x:row r="156">
      <x:c r="J156" s="40"/>
      <x:c r="K156" s="40"/>
      <x:c r="N156" s="42"/>
      <x:c r="O156" s="44"/>
      <x:c r="P156" s="44"/>
    </x:row>
    <x:row r="157">
      <x:c r="J157" s="40"/>
      <x:c r="K157" s="40"/>
      <x:c r="N157" s="42"/>
      <x:c r="O157" s="44"/>
      <x:c r="P157" s="44"/>
    </x:row>
    <x:row r="158">
      <x:c r="J158" s="40"/>
      <x:c r="K158" s="40"/>
      <x:c r="N158" s="42"/>
      <x:c r="O158" s="44"/>
      <x:c r="P158" s="44"/>
    </x:row>
    <x:row r="159">
      <x:c r="J159" s="40"/>
      <x:c r="K159" s="40"/>
      <x:c r="N159" s="42"/>
      <x:c r="O159" s="44"/>
      <x:c r="P159" s="44"/>
    </x:row>
    <x:row r="160">
      <x:c r="J160" s="40"/>
      <x:c r="K160" s="40"/>
      <x:c r="N160" s="42"/>
      <x:c r="O160" s="44"/>
      <x:c r="P160" s="44"/>
    </x:row>
    <x:row r="161">
      <x:c r="J161" s="40"/>
      <x:c r="K161" s="40"/>
      <x:c r="N161" s="42"/>
      <x:c r="O161" s="44"/>
      <x:c r="P161" s="44"/>
    </x:row>
    <x:row r="162">
      <x:c r="J162" s="40"/>
      <x:c r="K162" s="40"/>
      <x:c r="N162" s="42"/>
      <x:c r="O162" s="44"/>
      <x:c r="P162" s="44"/>
    </x:row>
    <x:row r="163">
      <x:c r="J163" s="40"/>
      <x:c r="K163" s="40"/>
      <x:c r="N163" s="42"/>
      <x:c r="O163" s="44"/>
      <x:c r="P163" s="44"/>
    </x:row>
    <x:row r="164">
      <x:c r="J164" s="40"/>
      <x:c r="K164" s="40"/>
      <x:c r="N164" s="42"/>
      <x:c r="O164" s="44"/>
      <x:c r="P164" s="44"/>
    </x:row>
    <x:row r="165">
      <x:c r="J165" s="40"/>
      <x:c r="K165" s="40"/>
      <x:c r="N165" s="42"/>
      <x:c r="O165" s="44"/>
      <x:c r="P165" s="44"/>
    </x:row>
    <x:row r="166">
      <x:c r="J166" s="40"/>
      <x:c r="K166" s="40"/>
      <x:c r="N166" s="42"/>
      <x:c r="O166" s="44"/>
      <x:c r="P166" s="44"/>
    </x:row>
    <x:row r="167">
      <x:c r="J167" s="40"/>
      <x:c r="K167" s="40"/>
      <x:c r="N167" s="42"/>
      <x:c r="O167" s="44"/>
      <x:c r="P167" s="44"/>
    </x:row>
    <x:row r="168">
      <x:c r="J168" s="40"/>
      <x:c r="K168" s="40"/>
      <x:c r="N168" s="42"/>
      <x:c r="O168" s="44"/>
      <x:c r="P168" s="44"/>
    </x:row>
    <x:row r="169">
      <x:c r="J169" s="40"/>
      <x:c r="K169" s="40"/>
      <x:c r="N169" s="42"/>
      <x:c r="O169" s="44"/>
      <x:c r="P169" s="44"/>
    </x:row>
    <x:row r="170">
      <x:c r="J170" s="40"/>
      <x:c r="K170" s="40"/>
      <x:c r="N170" s="42"/>
      <x:c r="O170" s="44"/>
      <x:c r="P170" s="44"/>
    </x:row>
    <x:row r="171">
      <x:c r="J171" s="40"/>
      <x:c r="K171" s="40"/>
      <x:c r="N171" s="42"/>
      <x:c r="O171" s="44"/>
      <x:c r="P171" s="44"/>
    </x:row>
    <x:row r="172">
      <x:c r="J172" s="40"/>
      <x:c r="K172" s="40"/>
      <x:c r="N172" s="42"/>
      <x:c r="O172" s="44"/>
      <x:c r="P172" s="44"/>
    </x:row>
    <x:row r="173">
      <x:c r="J173" s="40"/>
      <x:c r="K173" s="40"/>
      <x:c r="N173" s="42"/>
      <x:c r="O173" s="44"/>
      <x:c r="P173" s="44"/>
    </x:row>
    <x:row r="174">
      <x:c r="J174" s="40"/>
      <x:c r="K174" s="40"/>
      <x:c r="N174" s="42"/>
      <x:c r="O174" s="44"/>
      <x:c r="P174" s="44"/>
    </x:row>
    <x:row r="175">
      <x:c r="J175" s="40"/>
      <x:c r="K175" s="40"/>
      <x:c r="N175" s="42"/>
      <x:c r="O175" s="44"/>
      <x:c r="P175" s="44"/>
    </x:row>
    <x:row r="176">
      <x:c r="J176" s="40"/>
      <x:c r="K176" s="40"/>
      <x:c r="N176" s="42"/>
      <x:c r="O176" s="44"/>
      <x:c r="P176" s="44"/>
    </x:row>
    <x:row r="177">
      <x:c r="J177" s="40"/>
      <x:c r="K177" s="40"/>
      <x:c r="N177" s="42"/>
      <x:c r="O177" s="44"/>
      <x:c r="P177" s="44"/>
    </x:row>
    <x:row r="178">
      <x:c r="J178" s="40"/>
      <x:c r="K178" s="40"/>
      <x:c r="N178" s="42"/>
      <x:c r="O178" s="44"/>
      <x:c r="P178" s="44"/>
    </x:row>
    <x:row r="179">
      <x:c r="J179" s="40"/>
      <x:c r="K179" s="40"/>
      <x:c r="N179" s="42"/>
      <x:c r="O179" s="44"/>
      <x:c r="P179" s="44"/>
    </x:row>
    <x:row r="180">
      <x:c r="J180" s="40"/>
      <x:c r="K180" s="40"/>
      <x:c r="N180" s="42"/>
      <x:c r="O180" s="44"/>
      <x:c r="P180" s="44"/>
    </x:row>
    <x:row r="181">
      <x:c r="J181" s="40"/>
      <x:c r="K181" s="40"/>
      <x:c r="N181" s="42"/>
      <x:c r="O181" s="44"/>
      <x:c r="P181" s="44"/>
    </x:row>
    <x:row r="182">
      <x:c r="J182" s="40"/>
      <x:c r="K182" s="40"/>
      <x:c r="N182" s="42"/>
      <x:c r="O182" s="44"/>
      <x:c r="P182" s="44"/>
    </x:row>
    <x:row r="183">
      <x:c r="J183" s="40"/>
      <x:c r="K183" s="40"/>
      <x:c r="N183" s="42"/>
      <x:c r="O183" s="44"/>
      <x:c r="P183" s="44"/>
    </x:row>
    <x:row r="184">
      <x:c r="J184" s="40"/>
      <x:c r="K184" s="40"/>
      <x:c r="N184" s="42"/>
      <x:c r="O184" s="44"/>
      <x:c r="P184" s="44"/>
    </x:row>
    <x:row r="185">
      <x:c r="J185" s="40"/>
      <x:c r="K185" s="40"/>
      <x:c r="N185" s="42"/>
      <x:c r="O185" s="44"/>
      <x:c r="P185" s="44"/>
    </x:row>
    <x:row r="186">
      <x:c r="J186" s="40"/>
      <x:c r="K186" s="40"/>
      <x:c r="N186" s="42"/>
      <x:c r="O186" s="44"/>
      <x:c r="P186" s="44"/>
    </x:row>
    <x:row r="187">
      <x:c r="J187" s="40"/>
      <x:c r="K187" s="40"/>
      <x:c r="N187" s="42"/>
      <x:c r="O187" s="44"/>
      <x:c r="P187" s="44"/>
    </x:row>
    <x:row r="188">
      <x:c r="J188" s="40"/>
      <x:c r="K188" s="40"/>
      <x:c r="N188" s="42"/>
      <x:c r="O188" s="44"/>
      <x:c r="P188" s="44"/>
    </x:row>
    <x:row r="189">
      <x:c r="J189" s="40"/>
      <x:c r="K189" s="40"/>
      <x:c r="N189" s="42"/>
      <x:c r="O189" s="44"/>
      <x:c r="P189" s="44"/>
    </x:row>
    <x:row r="190">
      <x:c r="J190" s="40"/>
      <x:c r="K190" s="40"/>
      <x:c r="N190" s="42"/>
      <x:c r="O190" s="44"/>
      <x:c r="P190" s="44"/>
    </x:row>
    <x:row r="191">
      <x:c r="J191" s="40"/>
      <x:c r="K191" s="40"/>
      <x:c r="N191" s="42"/>
      <x:c r="O191" s="44"/>
      <x:c r="P191" s="44"/>
    </x:row>
    <x:row r="192">
      <x:c r="J192" s="40"/>
      <x:c r="K192" s="40"/>
      <x:c r="N192" s="42"/>
      <x:c r="O192" s="44"/>
      <x:c r="P192" s="44"/>
    </x:row>
    <x:row r="193">
      <x:c r="J193" s="40"/>
      <x:c r="K193" s="40"/>
      <x:c r="N193" s="42"/>
      <x:c r="O193" s="44"/>
      <x:c r="P193" s="44"/>
    </x:row>
    <x:row r="194">
      <x:c r="J194" s="40"/>
      <x:c r="K194" s="40"/>
      <x:c r="N194" s="42"/>
      <x:c r="O194" s="44"/>
      <x:c r="P194" s="44"/>
    </x:row>
    <x:row r="195">
      <x:c r="J195" s="40"/>
      <x:c r="K195" s="40"/>
      <x:c r="N195" s="42"/>
      <x:c r="O195" s="44"/>
      <x:c r="P195" s="44"/>
    </x:row>
    <x:row r="196">
      <x:c r="J196" s="40"/>
      <x:c r="K196" s="40"/>
      <x:c r="N196" s="42"/>
      <x:c r="O196" s="44"/>
      <x:c r="P196" s="44"/>
    </x:row>
    <x:row r="197">
      <x:c r="J197" s="40"/>
      <x:c r="K197" s="40"/>
      <x:c r="N197" s="42"/>
      <x:c r="O197" s="44"/>
      <x:c r="P197" s="44"/>
    </x:row>
    <x:row r="198">
      <x:c r="J198" s="40"/>
      <x:c r="K198" s="40"/>
      <x:c r="N198" s="42"/>
      <x:c r="O198" s="44"/>
      <x:c r="P198" s="44"/>
    </x:row>
    <x:row r="199">
      <x:c r="J199" s="40"/>
      <x:c r="K199" s="40"/>
      <x:c r="N199" s="42"/>
      <x:c r="O199" s="44"/>
      <x:c r="P199" s="44"/>
    </x:row>
    <x:row r="200">
      <x:c r="J200" s="40"/>
      <x:c r="K200" s="40"/>
      <x:c r="N200" s="42"/>
      <x:c r="O200" s="44"/>
      <x:c r="P200" s="44"/>
    </x:row>
    <x:row r="201">
      <x:c r="J201" s="40"/>
      <x:c r="K201" s="40"/>
      <x:c r="N201" s="42"/>
      <x:c r="O201" s="44"/>
      <x:c r="P201" s="44"/>
    </x:row>
    <x:row r="202">
      <x:c r="J202" s="40"/>
      <x:c r="K202" s="40"/>
      <x:c r="N202" s="42"/>
      <x:c r="O202" s="44"/>
      <x:c r="P202" s="44"/>
    </x:row>
    <x:row r="203">
      <x:c r="J203" s="40"/>
      <x:c r="K203" s="40"/>
      <x:c r="N203" s="42"/>
      <x:c r="O203" s="44"/>
      <x:c r="P203" s="44"/>
    </x:row>
    <x:row r="204">
      <x:c r="J204" s="40"/>
      <x:c r="K204" s="40"/>
      <x:c r="N204" s="42"/>
      <x:c r="O204" s="44"/>
      <x:c r="P204" s="44"/>
    </x:row>
    <x:row r="205">
      <x:c r="J205" s="40"/>
      <x:c r="K205" s="40"/>
      <x:c r="N205" s="42"/>
      <x:c r="O205" s="44"/>
      <x:c r="P205" s="44"/>
    </x:row>
    <x:row r="206">
      <x:c r="J206" s="40"/>
      <x:c r="K206" s="40"/>
      <x:c r="N206" s="42"/>
      <x:c r="O206" s="44"/>
      <x:c r="P206" s="44"/>
    </x:row>
    <x:row r="207">
      <x:c r="J207" s="40"/>
      <x:c r="K207" s="40"/>
      <x:c r="N207" s="42"/>
      <x:c r="O207" s="44"/>
      <x:c r="P207" s="44"/>
    </x:row>
    <x:row r="208">
      <x:c r="J208" s="40"/>
      <x:c r="K208" s="40"/>
      <x:c r="N208" s="42"/>
      <x:c r="O208" s="44"/>
      <x:c r="P208" s="44"/>
    </x:row>
    <x:row r="209">
      <x:c r="J209" s="40"/>
      <x:c r="K209" s="40"/>
      <x:c r="N209" s="42"/>
      <x:c r="O209" s="44"/>
      <x:c r="P209" s="44"/>
    </x:row>
    <x:row r="210">
      <x:c r="J210" s="40"/>
      <x:c r="K210" s="40"/>
      <x:c r="N210" s="42"/>
      <x:c r="O210" s="44"/>
      <x:c r="P210" s="44"/>
    </x:row>
    <x:row r="211">
      <x:c r="J211" s="40"/>
      <x:c r="K211" s="40"/>
      <x:c r="N211" s="42"/>
      <x:c r="O211" s="44"/>
      <x:c r="P211" s="44"/>
    </x:row>
    <x:row r="212">
      <x:c r="J212" s="40"/>
      <x:c r="K212" s="40"/>
      <x:c r="N212" s="42"/>
      <x:c r="O212" s="44"/>
      <x:c r="P212" s="44"/>
    </x:row>
    <x:row r="213">
      <x:c r="J213" s="40"/>
      <x:c r="K213" s="40"/>
      <x:c r="N213" s="42"/>
      <x:c r="O213" s="44"/>
      <x:c r="P213" s="44"/>
    </x:row>
    <x:row r="214">
      <x:c r="J214" s="40"/>
      <x:c r="K214" s="40"/>
      <x:c r="N214" s="42"/>
      <x:c r="O214" s="44"/>
      <x:c r="P214" s="44"/>
    </x:row>
    <x:row r="215">
      <x:c r="J215" s="40"/>
      <x:c r="K215" s="40"/>
      <x:c r="N215" s="42"/>
      <x:c r="O215" s="44"/>
      <x:c r="P215" s="44"/>
    </x:row>
    <x:row r="216">
      <x:c r="J216" s="40"/>
      <x:c r="K216" s="40"/>
      <x:c r="N216" s="42"/>
      <x:c r="O216" s="44"/>
      <x:c r="P216" s="44"/>
    </x:row>
    <x:row r="217">
      <x:c r="J217" s="40"/>
      <x:c r="K217" s="40"/>
      <x:c r="N217" s="42"/>
      <x:c r="O217" s="44"/>
      <x:c r="P217" s="44"/>
    </x:row>
    <x:row r="218">
      <x:c r="J218" s="40"/>
      <x:c r="K218" s="40"/>
      <x:c r="N218" s="42"/>
      <x:c r="O218" s="44"/>
      <x:c r="P218" s="44"/>
    </x:row>
    <x:row r="219">
      <x:c r="J219" s="40"/>
      <x:c r="K219" s="40"/>
      <x:c r="N219" s="42"/>
      <x:c r="O219" s="44"/>
      <x:c r="P219" s="44"/>
    </x:row>
    <x:row r="220">
      <x:c r="J220" s="40"/>
      <x:c r="K220" s="40"/>
      <x:c r="N220" s="42"/>
      <x:c r="O220" s="44"/>
      <x:c r="P220" s="44"/>
    </x:row>
    <x:row r="221">
      <x:c r="J221" s="40"/>
      <x:c r="K221" s="40"/>
      <x:c r="N221" s="42"/>
      <x:c r="O221" s="44"/>
      <x:c r="P221" s="44"/>
    </x:row>
    <x:row r="222">
      <x:c r="J222" s="40"/>
      <x:c r="K222" s="40"/>
      <x:c r="N222" s="42"/>
      <x:c r="O222" s="44"/>
      <x:c r="P222" s="44"/>
    </x:row>
    <x:row r="223">
      <x:c r="J223" s="40"/>
      <x:c r="K223" s="40"/>
      <x:c r="N223" s="42"/>
      <x:c r="O223" s="44"/>
      <x:c r="P223" s="44"/>
    </x:row>
    <x:row r="224">
      <x:c r="J224" s="40"/>
      <x:c r="K224" s="40"/>
      <x:c r="N224" s="42"/>
      <x:c r="O224" s="44"/>
      <x:c r="P224" s="44"/>
    </x:row>
    <x:row r="225">
      <x:c r="J225" s="40"/>
      <x:c r="K225" s="40"/>
      <x:c r="N225" s="42"/>
      <x:c r="O225" s="44"/>
      <x:c r="P225" s="44"/>
    </x:row>
    <x:row r="226">
      <x:c r="J226" s="40"/>
      <x:c r="K226" s="40"/>
      <x:c r="N226" s="42"/>
      <x:c r="O226" s="44"/>
      <x:c r="P226" s="44"/>
    </x:row>
    <x:row r="227">
      <x:c r="J227" s="40"/>
      <x:c r="K227" s="40"/>
      <x:c r="N227" s="42"/>
      <x:c r="O227" s="44"/>
      <x:c r="P227" s="44"/>
    </x:row>
    <x:row r="228">
      <x:c r="J228" s="40"/>
      <x:c r="K228" s="40"/>
      <x:c r="N228" s="42"/>
      <x:c r="O228" s="44"/>
      <x:c r="P228" s="44"/>
    </x:row>
    <x:row r="229">
      <x:c r="J229" s="40"/>
      <x:c r="K229" s="40"/>
      <x:c r="N229" s="42"/>
      <x:c r="O229" s="44"/>
      <x:c r="P229" s="44"/>
    </x:row>
    <x:row r="230">
      <x:c r="J230" s="40"/>
      <x:c r="K230" s="40"/>
      <x:c r="N230" s="42"/>
      <x:c r="O230" s="44"/>
      <x:c r="P230" s="44"/>
    </x:row>
    <x:row r="231">
      <x:c r="J231" s="40"/>
      <x:c r="K231" s="40"/>
      <x:c r="N231" s="42"/>
      <x:c r="O231" s="44"/>
      <x:c r="P231" s="44"/>
    </x:row>
    <x:row r="232">
      <x:c r="J232" s="40"/>
      <x:c r="K232" s="40"/>
      <x:c r="N232" s="42"/>
      <x:c r="O232" s="44"/>
      <x:c r="P232" s="44"/>
    </x:row>
    <x:row r="233">
      <x:c r="J233" s="40"/>
      <x:c r="K233" s="40"/>
      <x:c r="N233" s="42"/>
      <x:c r="O233" s="44"/>
      <x:c r="P233" s="44"/>
    </x:row>
    <x:row r="234">
      <x:c r="J234" s="40"/>
      <x:c r="K234" s="40"/>
      <x:c r="N234" s="42"/>
      <x:c r="O234" s="44"/>
      <x:c r="P234" s="44"/>
    </x:row>
    <x:row r="235">
      <x:c r="J235" s="40"/>
      <x:c r="K235" s="40"/>
      <x:c r="N235" s="42"/>
      <x:c r="O235" s="44"/>
      <x:c r="P235" s="44"/>
    </x:row>
    <x:row r="236">
      <x:c r="J236" s="40"/>
      <x:c r="K236" s="40"/>
      <x:c r="N236" s="42"/>
      <x:c r="O236" s="44"/>
      <x:c r="P236" s="44"/>
    </x:row>
    <x:row r="237">
      <x:c r="J237" s="40"/>
      <x:c r="K237" s="40"/>
      <x:c r="N237" s="42"/>
      <x:c r="O237" s="44"/>
      <x:c r="P237" s="44"/>
    </x:row>
    <x:row r="238">
      <x:c r="J238" s="40"/>
      <x:c r="K238" s="40"/>
      <x:c r="N238" s="42"/>
      <x:c r="O238" s="44"/>
      <x:c r="P238" s="44"/>
    </x:row>
    <x:row r="239">
      <x:c r="J239" s="40"/>
      <x:c r="K239" s="40"/>
      <x:c r="N239" s="42"/>
      <x:c r="O239" s="44"/>
      <x:c r="P239" s="44"/>
    </x:row>
    <x:row r="240">
      <x:c r="J240" s="40"/>
      <x:c r="K240" s="40"/>
      <x:c r="N240" s="42"/>
      <x:c r="O240" s="44"/>
      <x:c r="P240" s="44"/>
    </x:row>
    <x:row r="241">
      <x:c r="J241" s="40"/>
      <x:c r="K241" s="40"/>
      <x:c r="N241" s="42"/>
      <x:c r="O241" s="44"/>
      <x:c r="P241" s="44"/>
    </x:row>
    <x:row r="242">
      <x:c r="J242" s="40"/>
      <x:c r="K242" s="40"/>
      <x:c r="N242" s="42"/>
      <x:c r="O242" s="44"/>
      <x:c r="P242" s="44"/>
    </x:row>
    <x:row r="243">
      <x:c r="J243" s="40"/>
      <x:c r="K243" s="40"/>
      <x:c r="N243" s="42"/>
      <x:c r="O243" s="44"/>
      <x:c r="P243" s="44"/>
    </x:row>
    <x:row r="244">
      <x:c r="J244" s="40"/>
      <x:c r="K244" s="40"/>
      <x:c r="N244" s="42"/>
      <x:c r="O244" s="44"/>
      <x:c r="P244" s="44"/>
    </x:row>
    <x:row r="245">
      <x:c r="J245" s="40"/>
      <x:c r="K245" s="40"/>
      <x:c r="N245" s="42"/>
      <x:c r="O245" s="44"/>
      <x:c r="P245" s="44"/>
    </x:row>
    <x:row r="246">
      <x:c r="J246" s="40"/>
      <x:c r="K246" s="40"/>
      <x:c r="N246" s="42"/>
      <x:c r="O246" s="44"/>
      <x:c r="P246" s="44"/>
    </x:row>
    <x:row r="247">
      <x:c r="J247" s="40"/>
      <x:c r="K247" s="40"/>
      <x:c r="N247" s="42"/>
      <x:c r="O247" s="44"/>
      <x:c r="P247" s="44"/>
    </x:row>
    <x:row r="248">
      <x:c r="J248" s="40"/>
      <x:c r="K248" s="40"/>
      <x:c r="N248" s="42"/>
      <x:c r="O248" s="44"/>
      <x:c r="P248" s="44"/>
    </x:row>
    <x:row r="249">
      <x:c r="J249" s="40"/>
      <x:c r="K249" s="40"/>
      <x:c r="N249" s="42"/>
      <x:c r="O249" s="44"/>
      <x:c r="P249" s="44"/>
    </x:row>
    <x:row r="250">
      <x:c r="J250" s="40"/>
      <x:c r="K250" s="40"/>
      <x:c r="N250" s="42"/>
      <x:c r="O250" s="44"/>
      <x:c r="P250" s="44"/>
    </x:row>
    <x:row r="251">
      <x:c r="J251" s="40"/>
      <x:c r="K251" s="40"/>
      <x:c r="N251" s="42"/>
      <x:c r="O251" s="44"/>
      <x:c r="P251" s="44"/>
    </x:row>
    <x:row r="252">
      <x:c r="J252" s="40"/>
      <x:c r="K252" s="40"/>
      <x:c r="N252" s="42"/>
      <x:c r="O252" s="44"/>
      <x:c r="P252" s="44"/>
    </x:row>
    <x:row r="253">
      <x:c r="J253" s="40"/>
      <x:c r="K253" s="40"/>
      <x:c r="N253" s="42"/>
      <x:c r="O253" s="44"/>
      <x:c r="P253" s="44"/>
    </x:row>
    <x:row r="254">
      <x:c r="J254" s="40"/>
      <x:c r="K254" s="40"/>
      <x:c r="N254" s="42"/>
      <x:c r="O254" s="44"/>
      <x:c r="P254" s="44"/>
    </x:row>
    <x:row r="255">
      <x:c r="J255" s="40"/>
      <x:c r="K255" s="40"/>
      <x:c r="N255" s="42"/>
      <x:c r="O255" s="44"/>
      <x:c r="P255" s="44"/>
    </x:row>
    <x:row r="256">
      <x:c r="J256" s="40"/>
      <x:c r="K256" s="40"/>
      <x:c r="N256" s="42"/>
      <x:c r="O256" s="44"/>
      <x:c r="P256" s="44"/>
    </x:row>
    <x:row r="257">
      <x:c r="J257" s="40"/>
      <x:c r="K257" s="40"/>
      <x:c r="N257" s="42"/>
      <x:c r="O257" s="44"/>
      <x:c r="P257" s="44"/>
    </x:row>
    <x:row r="258">
      <x:c r="J258" s="40"/>
      <x:c r="K258" s="40"/>
      <x:c r="N258" s="42"/>
      <x:c r="O258" s="44"/>
      <x:c r="P258" s="44"/>
    </x:row>
    <x:row r="259">
      <x:c r="J259" s="40"/>
      <x:c r="K259" s="40"/>
      <x:c r="N259" s="42"/>
      <x:c r="O259" s="44"/>
      <x:c r="P259" s="44"/>
    </x:row>
    <x:row r="260">
      <x:c r="J260" s="40"/>
      <x:c r="K260" s="40"/>
      <x:c r="N260" s="42"/>
      <x:c r="O260" s="44"/>
      <x:c r="P260" s="44"/>
    </x:row>
    <x:row r="261">
      <x:c r="J261" s="40"/>
      <x:c r="K261" s="40"/>
      <x:c r="N261" s="42"/>
      <x:c r="O261" s="44"/>
      <x:c r="P261" s="44"/>
    </x:row>
    <x:row r="262">
      <x:c r="J262" s="40"/>
      <x:c r="K262" s="40"/>
      <x:c r="N262" s="42"/>
      <x:c r="O262" s="44"/>
      <x:c r="P262" s="44"/>
    </x:row>
    <x:row r="263">
      <x:c r="J263" s="40"/>
      <x:c r="K263" s="40"/>
      <x:c r="N263" s="42"/>
      <x:c r="O263" s="44"/>
      <x:c r="P263" s="44"/>
    </x:row>
    <x:row r="264">
      <x:c r="J264" s="40"/>
      <x:c r="K264" s="40"/>
      <x:c r="N264" s="42"/>
      <x:c r="O264" s="44"/>
      <x:c r="P264" s="44"/>
    </x:row>
    <x:row r="265">
      <x:c r="J265" s="40"/>
      <x:c r="K265" s="40"/>
      <x:c r="N265" s="42"/>
      <x:c r="O265" s="44"/>
      <x:c r="P265" s="44"/>
    </x:row>
    <x:row r="266">
      <x:c r="J266" s="40"/>
      <x:c r="K266" s="40"/>
      <x:c r="N266" s="42"/>
      <x:c r="O266" s="44"/>
      <x:c r="P266" s="44"/>
    </x:row>
    <x:row r="267">
      <x:c r="J267" s="40"/>
      <x:c r="K267" s="40"/>
      <x:c r="N267" s="42"/>
      <x:c r="O267" s="44"/>
      <x:c r="P267" s="44"/>
    </x:row>
    <x:row r="268">
      <x:c r="J268" s="40"/>
      <x:c r="K268" s="40"/>
      <x:c r="N268" s="42"/>
      <x:c r="O268" s="44"/>
      <x:c r="P268" s="44"/>
    </x:row>
    <x:row r="269">
      <x:c r="J269" s="40"/>
      <x:c r="K269" s="40"/>
      <x:c r="N269" s="42"/>
      <x:c r="O269" s="44"/>
      <x:c r="P269" s="44"/>
    </x:row>
    <x:row r="270">
      <x:c r="J270" s="40"/>
      <x:c r="K270" s="40"/>
      <x:c r="N270" s="42"/>
      <x:c r="O270" s="44"/>
      <x:c r="P270" s="44"/>
    </x:row>
    <x:row r="271">
      <x:c r="J271" s="40"/>
      <x:c r="K271" s="40"/>
      <x:c r="N271" s="42"/>
      <x:c r="O271" s="44"/>
      <x:c r="P271" s="44"/>
    </x:row>
    <x:row r="272">
      <x:c r="J272" s="40"/>
      <x:c r="K272" s="40"/>
      <x:c r="N272" s="42"/>
      <x:c r="O272" s="44"/>
      <x:c r="P272" s="44"/>
    </x:row>
    <x:row r="273">
      <x:c r="J273" s="40"/>
      <x:c r="K273" s="40"/>
      <x:c r="N273" s="42"/>
      <x:c r="O273" s="44"/>
      <x:c r="P273" s="44"/>
    </x:row>
    <x:row r="274">
      <x:c r="J274" s="40"/>
      <x:c r="K274" s="40"/>
      <x:c r="N274" s="42"/>
      <x:c r="O274" s="44"/>
      <x:c r="P274" s="44"/>
    </x:row>
    <x:row r="275">
      <x:c r="J275" s="40"/>
      <x:c r="K275" s="40"/>
      <x:c r="N275" s="42"/>
      <x:c r="O275" s="44"/>
      <x:c r="P275" s="44"/>
    </x:row>
    <x:row r="276">
      <x:c r="J276" s="40"/>
      <x:c r="K276" s="40"/>
      <x:c r="N276" s="42"/>
      <x:c r="O276" s="44"/>
      <x:c r="P276" s="44"/>
    </x:row>
    <x:row r="277">
      <x:c r="J277" s="40"/>
      <x:c r="K277" s="40"/>
      <x:c r="N277" s="42"/>
      <x:c r="O277" s="44"/>
      <x:c r="P277" s="44"/>
    </x:row>
    <x:row r="278">
      <x:c r="J278" s="40"/>
      <x:c r="K278" s="40"/>
      <x:c r="N278" s="42"/>
      <x:c r="O278" s="44"/>
      <x:c r="P278" s="44"/>
    </x:row>
    <x:row r="279">
      <x:c r="J279" s="40"/>
      <x:c r="K279" s="40"/>
      <x:c r="N279" s="42"/>
      <x:c r="O279" s="44"/>
      <x:c r="P279" s="44"/>
    </x:row>
    <x:row r="280">
      <x:c r="J280" s="40"/>
      <x:c r="K280" s="40"/>
      <x:c r="N280" s="42"/>
      <x:c r="O280" s="44"/>
      <x:c r="P280" s="44"/>
    </x:row>
    <x:row r="281">
      <x:c r="J281" s="40"/>
      <x:c r="K281" s="40"/>
      <x:c r="N281" s="42"/>
      <x:c r="O281" s="44"/>
      <x:c r="P281" s="44"/>
    </x:row>
    <x:row r="282">
      <x:c r="J282" s="40"/>
      <x:c r="K282" s="40"/>
      <x:c r="N282" s="42"/>
      <x:c r="O282" s="44"/>
      <x:c r="P282" s="44"/>
    </x:row>
    <x:row r="283">
      <x:c r="J283" s="40"/>
      <x:c r="K283" s="40"/>
      <x:c r="N283" s="42"/>
      <x:c r="O283" s="44"/>
      <x:c r="P283" s="44"/>
    </x:row>
    <x:row r="284">
      <x:c r="J284" s="40"/>
      <x:c r="K284" s="40"/>
      <x:c r="N284" s="42"/>
      <x:c r="O284" s="44"/>
      <x:c r="P284" s="44"/>
    </x:row>
    <x:row r="285">
      <x:c r="J285" s="40"/>
      <x:c r="K285" s="40"/>
      <x:c r="N285" s="42"/>
      <x:c r="O285" s="44"/>
      <x:c r="P285" s="44"/>
    </x:row>
    <x:row r="286">
      <x:c r="J286" s="40"/>
      <x:c r="K286" s="40"/>
      <x:c r="N286" s="42"/>
      <x:c r="O286" s="44"/>
      <x:c r="P286" s="44"/>
    </x:row>
    <x:row r="287">
      <x:c r="J287" s="40"/>
      <x:c r="K287" s="40"/>
      <x:c r="N287" s="42"/>
      <x:c r="O287" s="44"/>
      <x:c r="P287" s="44"/>
    </x:row>
    <x:row r="288">
      <x:c r="J288" s="40"/>
      <x:c r="K288" s="40"/>
      <x:c r="N288" s="42"/>
      <x:c r="O288" s="44"/>
      <x:c r="P288" s="44"/>
    </x:row>
    <x:row r="289">
      <x:c r="J289" s="40"/>
      <x:c r="K289" s="40"/>
      <x:c r="N289" s="42"/>
      <x:c r="O289" s="44"/>
      <x:c r="P289" s="44"/>
    </x:row>
    <x:row r="290">
      <x:c r="J290" s="40"/>
      <x:c r="K290" s="40"/>
      <x:c r="N290" s="42"/>
      <x:c r="O290" s="44"/>
      <x:c r="P290" s="44"/>
    </x:row>
    <x:row r="291">
      <x:c r="J291" s="40"/>
      <x:c r="K291" s="40"/>
      <x:c r="N291" s="42"/>
      <x:c r="O291" s="44"/>
      <x:c r="P291" s="44"/>
    </x:row>
    <x:row r="292">
      <x:c r="J292" s="40"/>
      <x:c r="K292" s="40"/>
      <x:c r="N292" s="42"/>
      <x:c r="O292" s="44"/>
      <x:c r="P292" s="44"/>
    </x:row>
    <x:row r="293">
      <x:c r="J293" s="40"/>
      <x:c r="K293" s="40"/>
      <x:c r="N293" s="42"/>
      <x:c r="O293" s="44"/>
      <x:c r="P293" s="44"/>
    </x:row>
    <x:row r="294">
      <x:c r="J294" s="40"/>
      <x:c r="K294" s="40"/>
      <x:c r="N294" s="42"/>
      <x:c r="O294" s="44"/>
      <x:c r="P294" s="44"/>
    </x:row>
    <x:row r="295">
      <x:c r="J295" s="40"/>
      <x:c r="K295" s="40"/>
      <x:c r="N295" s="42"/>
      <x:c r="O295" s="44"/>
      <x:c r="P295" s="44"/>
    </x:row>
    <x:row r="296">
      <x:c r="J296" s="40"/>
      <x:c r="K296" s="40"/>
      <x:c r="N296" s="42"/>
      <x:c r="O296" s="44"/>
      <x:c r="P296" s="44"/>
    </x:row>
    <x:row r="297">
      <x:c r="J297" s="40"/>
      <x:c r="K297" s="40"/>
      <x:c r="N297" s="42"/>
      <x:c r="O297" s="44"/>
      <x:c r="P297" s="44"/>
    </x:row>
    <x:row r="298">
      <x:c r="J298" s="40"/>
      <x:c r="K298" s="40"/>
      <x:c r="N298" s="42"/>
      <x:c r="O298" s="44"/>
      <x:c r="P298" s="44"/>
    </x:row>
    <x:row r="299">
      <x:c r="J299" s="40"/>
      <x:c r="K299" s="40"/>
      <x:c r="N299" s="42"/>
      <x:c r="O299" s="44"/>
      <x:c r="P299" s="44"/>
    </x:row>
    <x:row r="300">
      <x:c r="J300" s="40"/>
      <x:c r="K300" s="40"/>
      <x:c r="N300" s="42"/>
      <x:c r="O300" s="44"/>
      <x:c r="P300" s="44"/>
    </x:row>
    <x:row r="301">
      <x:c r="J301" s="40"/>
      <x:c r="K301" s="40"/>
      <x:c r="N301" s="42"/>
      <x:c r="O301" s="44"/>
      <x:c r="P301" s="44"/>
    </x:row>
    <x:row r="302">
      <x:c r="J302" s="40"/>
      <x:c r="K302" s="40"/>
      <x:c r="N302" s="42"/>
      <x:c r="O302" s="44"/>
      <x:c r="P302" s="44"/>
    </x:row>
    <x:row r="303">
      <x:c r="J303" s="40"/>
      <x:c r="K303" s="40"/>
      <x:c r="N303" s="42"/>
      <x:c r="O303" s="44"/>
      <x:c r="P303" s="44"/>
    </x:row>
    <x:row r="304">
      <x:c r="J304" s="40"/>
      <x:c r="K304" s="40"/>
      <x:c r="N304" s="42"/>
      <x:c r="O304" s="44"/>
      <x:c r="P304" s="44"/>
    </x:row>
    <x:row r="305">
      <x:c r="J305" s="40"/>
      <x:c r="K305" s="40"/>
      <x:c r="N305" s="42"/>
      <x:c r="O305" s="44"/>
      <x:c r="P305" s="44"/>
    </x:row>
    <x:row r="306">
      <x:c r="J306" s="40"/>
      <x:c r="K306" s="40"/>
      <x:c r="N306" s="42"/>
      <x:c r="O306" s="44"/>
      <x:c r="P306" s="44"/>
    </x:row>
    <x:row r="307">
      <x:c r="J307" s="40"/>
      <x:c r="K307" s="40"/>
      <x:c r="N307" s="42"/>
      <x:c r="O307" s="44"/>
      <x:c r="P307" s="44"/>
    </x:row>
    <x:row r="308">
      <x:c r="J308" s="40"/>
      <x:c r="K308" s="40"/>
      <x:c r="N308" s="42"/>
      <x:c r="O308" s="44"/>
      <x:c r="P308" s="44"/>
    </x:row>
    <x:row r="309">
      <x:c r="J309" s="40"/>
      <x:c r="K309" s="40"/>
      <x:c r="N309" s="42"/>
      <x:c r="O309" s="44"/>
      <x:c r="P309" s="44"/>
    </x:row>
    <x:row r="310">
      <x:c r="J310" s="40"/>
      <x:c r="K310" s="40"/>
      <x:c r="N310" s="42"/>
      <x:c r="O310" s="44"/>
      <x:c r="P310" s="44"/>
    </x:row>
    <x:row r="311">
      <x:c r="J311" s="40"/>
      <x:c r="K311" s="40"/>
      <x:c r="N311" s="42"/>
      <x:c r="O311" s="44"/>
      <x:c r="P311" s="44"/>
    </x:row>
    <x:row r="312">
      <x:c r="J312" s="40"/>
      <x:c r="K312" s="40"/>
      <x:c r="N312" s="42"/>
      <x:c r="O312" s="44"/>
      <x:c r="P312" s="44"/>
    </x:row>
    <x:row r="313">
      <x:c r="J313" s="40"/>
      <x:c r="K313" s="40"/>
      <x:c r="N313" s="42"/>
      <x:c r="O313" s="44"/>
      <x:c r="P313" s="44"/>
    </x:row>
    <x:row r="314">
      <x:c r="J314" s="40"/>
      <x:c r="K314" s="40"/>
      <x:c r="N314" s="42"/>
      <x:c r="O314" s="44"/>
      <x:c r="P314" s="44"/>
    </x:row>
    <x:row r="315">
      <x:c r="J315" s="40"/>
      <x:c r="K315" s="40"/>
      <x:c r="N315" s="42"/>
      <x:c r="O315" s="44"/>
      <x:c r="P315" s="44"/>
    </x:row>
    <x:row r="316">
      <x:c r="J316" s="40"/>
      <x:c r="K316" s="40"/>
      <x:c r="N316" s="42"/>
      <x:c r="O316" s="44"/>
      <x:c r="P316" s="44"/>
    </x:row>
    <x:row r="317">
      <x:c r="J317" s="40"/>
      <x:c r="K317" s="40"/>
      <x:c r="N317" s="42"/>
      <x:c r="O317" s="44"/>
      <x:c r="P317" s="44"/>
    </x:row>
    <x:row r="318">
      <x:c r="J318" s="40"/>
      <x:c r="K318" s="40"/>
      <x:c r="N318" s="42"/>
      <x:c r="O318" s="44"/>
      <x:c r="P318" s="44"/>
    </x:row>
    <x:row r="319">
      <x:c r="J319" s="40"/>
      <x:c r="K319" s="40"/>
      <x:c r="N319" s="42"/>
      <x:c r="O319" s="44"/>
      <x:c r="P319" s="44"/>
    </x:row>
    <x:row r="320">
      <x:c r="J320" s="40"/>
      <x:c r="K320" s="40"/>
      <x:c r="N320" s="42"/>
      <x:c r="O320" s="44"/>
      <x:c r="P320" s="44"/>
    </x:row>
    <x:row r="321">
      <x:c r="J321" s="40"/>
      <x:c r="K321" s="40"/>
      <x:c r="N321" s="42"/>
      <x:c r="O321" s="44"/>
      <x:c r="P321" s="44"/>
    </x:row>
    <x:row r="322">
      <x:c r="J322" s="40"/>
      <x:c r="K322" s="40"/>
      <x:c r="N322" s="42"/>
      <x:c r="O322" s="44"/>
      <x:c r="P322" s="44"/>
    </x:row>
    <x:row r="323">
      <x:c r="J323" s="40"/>
      <x:c r="K323" s="40"/>
      <x:c r="N323" s="42"/>
      <x:c r="O323" s="44"/>
      <x:c r="P323" s="44"/>
    </x:row>
    <x:row r="324">
      <x:c r="J324" s="40"/>
      <x:c r="K324" s="40"/>
      <x:c r="N324" s="42"/>
      <x:c r="O324" s="44"/>
      <x:c r="P324" s="44"/>
    </x:row>
    <x:row r="325">
      <x:c r="J325" s="40"/>
      <x:c r="K325" s="40"/>
      <x:c r="N325" s="42"/>
      <x:c r="O325" s="44"/>
      <x:c r="P325" s="44"/>
    </x:row>
    <x:row r="326">
      <x:c r="J326" s="40"/>
      <x:c r="K326" s="40"/>
      <x:c r="N326" s="42"/>
      <x:c r="O326" s="44"/>
      <x:c r="P326" s="44"/>
    </x:row>
    <x:row r="327">
      <x:c r="J327" s="40"/>
      <x:c r="K327" s="40"/>
      <x:c r="N327" s="42"/>
      <x:c r="O327" s="44"/>
      <x:c r="P327" s="44"/>
    </x:row>
    <x:row r="328">
      <x:c r="J328" s="40"/>
      <x:c r="K328" s="40"/>
      <x:c r="N328" s="42"/>
      <x:c r="O328" s="44"/>
      <x:c r="P328" s="44"/>
    </x:row>
    <x:row r="329">
      <x:c r="J329" s="40"/>
      <x:c r="K329" s="40"/>
      <x:c r="N329" s="42"/>
      <x:c r="O329" s="44"/>
      <x:c r="P329" s="44"/>
    </x:row>
    <x:row r="330">
      <x:c r="J330" s="40"/>
      <x:c r="K330" s="40"/>
      <x:c r="N330" s="42"/>
      <x:c r="O330" s="44"/>
      <x:c r="P330" s="44"/>
    </x:row>
    <x:row r="331">
      <x:c r="J331" s="40"/>
      <x:c r="K331" s="40"/>
      <x:c r="N331" s="42"/>
      <x:c r="O331" s="44"/>
      <x:c r="P331" s="44"/>
    </x:row>
    <x:row r="332">
      <x:c r="J332" s="40"/>
      <x:c r="K332" s="40"/>
      <x:c r="N332" s="42"/>
      <x:c r="O332" s="44"/>
      <x:c r="P332" s="44"/>
    </x:row>
    <x:row r="333">
      <x:c r="J333" s="40"/>
      <x:c r="K333" s="40"/>
      <x:c r="N333" s="42"/>
      <x:c r="O333" s="44"/>
      <x:c r="P333" s="44"/>
    </x:row>
    <x:row r="334">
      <x:c r="J334" s="40"/>
      <x:c r="K334" s="40"/>
      <x:c r="N334" s="42"/>
      <x:c r="O334" s="44"/>
      <x:c r="P334" s="44"/>
    </x:row>
    <x:row r="335">
      <x:c r="J335" s="40"/>
      <x:c r="K335" s="40"/>
      <x:c r="N335" s="42"/>
      <x:c r="O335" s="44"/>
      <x:c r="P335" s="44"/>
    </x:row>
    <x:row r="336">
      <x:c r="J336" s="40"/>
      <x:c r="K336" s="40"/>
      <x:c r="N336" s="42"/>
      <x:c r="O336" s="44"/>
      <x:c r="P336" s="44"/>
    </x:row>
    <x:row r="337">
      <x:c r="J337" s="40"/>
      <x:c r="K337" s="40"/>
      <x:c r="N337" s="42"/>
      <x:c r="O337" s="44"/>
      <x:c r="P337" s="44"/>
    </x:row>
    <x:row r="338">
      <x:c r="J338" s="40"/>
      <x:c r="K338" s="40"/>
      <x:c r="N338" s="42"/>
      <x:c r="O338" s="44"/>
      <x:c r="P338" s="44"/>
    </x:row>
    <x:row r="339">
      <x:c r="J339" s="40"/>
      <x:c r="K339" s="40"/>
      <x:c r="N339" s="42"/>
      <x:c r="O339" s="44"/>
      <x:c r="P339" s="44"/>
    </x:row>
    <x:row r="340">
      <x:c r="J340" s="40"/>
      <x:c r="K340" s="40"/>
      <x:c r="N340" s="42"/>
      <x:c r="O340" s="44"/>
      <x:c r="P340" s="44"/>
    </x:row>
    <x:row r="341">
      <x:c r="J341" s="40"/>
      <x:c r="K341" s="40"/>
      <x:c r="N341" s="42"/>
      <x:c r="O341" s="44"/>
      <x:c r="P341" s="44"/>
    </x:row>
    <x:row r="342">
      <x:c r="J342" s="40"/>
      <x:c r="K342" s="40"/>
      <x:c r="N342" s="42"/>
      <x:c r="O342" s="44"/>
      <x:c r="P342" s="44"/>
    </x:row>
    <x:row r="343">
      <x:c r="J343" s="40"/>
      <x:c r="K343" s="40"/>
      <x:c r="N343" s="42"/>
      <x:c r="O343" s="44"/>
      <x:c r="P343" s="44"/>
    </x:row>
    <x:row r="344">
      <x:c r="J344" s="40"/>
      <x:c r="K344" s="40"/>
      <x:c r="N344" s="42"/>
      <x:c r="O344" s="44"/>
      <x:c r="P344" s="44"/>
    </x:row>
    <x:row r="345">
      <x:c r="J345" s="40"/>
      <x:c r="K345" s="40"/>
      <x:c r="N345" s="42"/>
      <x:c r="O345" s="44"/>
      <x:c r="P345" s="44"/>
    </x:row>
    <x:row r="346">
      <x:c r="J346" s="40"/>
      <x:c r="K346" s="40"/>
      <x:c r="N346" s="42"/>
      <x:c r="O346" s="44"/>
      <x:c r="P346" s="44"/>
    </x:row>
    <x:row r="347">
      <x:c r="J347" s="40"/>
      <x:c r="K347" s="40"/>
      <x:c r="N347" s="42"/>
      <x:c r="O347" s="44"/>
      <x:c r="P347" s="44"/>
    </x:row>
    <x:row r="348">
      <x:c r="J348" s="40"/>
      <x:c r="K348" s="40"/>
      <x:c r="N348" s="42"/>
      <x:c r="O348" s="44"/>
      <x:c r="P348" s="44"/>
    </x:row>
    <x:row r="349">
      <x:c r="J349" s="40"/>
      <x:c r="K349" s="40"/>
      <x:c r="N349" s="42"/>
      <x:c r="O349" s="44"/>
      <x:c r="P349" s="44"/>
    </x:row>
    <x:row r="350">
      <x:c r="J350" s="40"/>
      <x:c r="K350" s="40"/>
      <x:c r="N350" s="42"/>
      <x:c r="O350" s="44"/>
      <x:c r="P350" s="44"/>
    </x:row>
    <x:row r="351">
      <x:c r="J351" s="40"/>
      <x:c r="K351" s="40"/>
      <x:c r="N351" s="42"/>
      <x:c r="O351" s="44"/>
      <x:c r="P351" s="44"/>
    </x:row>
    <x:row r="352">
      <x:c r="J352" s="40"/>
      <x:c r="K352" s="40"/>
      <x:c r="N352" s="42"/>
      <x:c r="O352" s="44"/>
      <x:c r="P352" s="44"/>
    </x:row>
    <x:row r="353">
      <x:c r="J353" s="40"/>
      <x:c r="K353" s="40"/>
      <x:c r="N353" s="42"/>
      <x:c r="O353" s="44"/>
      <x:c r="P353" s="44"/>
    </x:row>
    <x:row r="354">
      <x:c r="J354" s="40"/>
      <x:c r="K354" s="40"/>
      <x:c r="N354" s="42"/>
      <x:c r="O354" s="44"/>
      <x:c r="P354" s="44"/>
    </x:row>
    <x:row r="355">
      <x:c r="J355" s="40"/>
      <x:c r="K355" s="40"/>
      <x:c r="N355" s="42"/>
      <x:c r="O355" s="44"/>
      <x:c r="P355" s="44"/>
    </x:row>
    <x:row r="356">
      <x:c r="J356" s="40"/>
      <x:c r="K356" s="40"/>
      <x:c r="N356" s="42"/>
      <x:c r="O356" s="44"/>
      <x:c r="P356" s="44"/>
    </x:row>
    <x:row r="357">
      <x:c r="J357" s="40"/>
      <x:c r="K357" s="40"/>
      <x:c r="N357" s="42"/>
      <x:c r="O357" s="44"/>
      <x:c r="P357" s="44"/>
    </x:row>
    <x:row r="358">
      <x:c r="J358" s="40"/>
      <x:c r="K358" s="40"/>
      <x:c r="N358" s="42"/>
      <x:c r="O358" s="44"/>
      <x:c r="P358" s="44"/>
    </x:row>
    <x:row r="359">
      <x:c r="J359" s="40"/>
      <x:c r="K359" s="40"/>
      <x:c r="N359" s="42"/>
      <x:c r="O359" s="44"/>
      <x:c r="P359" s="44"/>
    </x:row>
    <x:row r="360">
      <x:c r="J360" s="40"/>
      <x:c r="K360" s="40"/>
      <x:c r="N360" s="42"/>
      <x:c r="O360" s="44"/>
      <x:c r="P360" s="44"/>
    </x:row>
    <x:row r="361">
      <x:c r="J361" s="40"/>
      <x:c r="K361" s="40"/>
      <x:c r="N361" s="42"/>
      <x:c r="O361" s="44"/>
      <x:c r="P361" s="44"/>
    </x:row>
    <x:row r="362">
      <x:c r="J362" s="40"/>
      <x:c r="K362" s="40"/>
      <x:c r="N362" s="42"/>
      <x:c r="O362" s="44"/>
      <x:c r="P362" s="44"/>
    </x:row>
    <x:row r="363">
      <x:c r="J363" s="40"/>
      <x:c r="K363" s="40"/>
      <x:c r="N363" s="42"/>
      <x:c r="O363" s="44"/>
      <x:c r="P363" s="44"/>
    </x:row>
    <x:row r="364">
      <x:c r="J364" s="40"/>
      <x:c r="K364" s="40"/>
      <x:c r="N364" s="42"/>
      <x:c r="O364" s="44"/>
      <x:c r="P364" s="44"/>
    </x:row>
    <x:row r="365">
      <x:c r="J365" s="40"/>
      <x:c r="K365" s="40"/>
      <x:c r="N365" s="42"/>
      <x:c r="O365" s="44"/>
      <x:c r="P365" s="44"/>
    </x:row>
    <x:row r="366">
      <x:c r="J366" s="40"/>
      <x:c r="K366" s="40"/>
      <x:c r="N366" s="42"/>
      <x:c r="O366" s="44"/>
      <x:c r="P366" s="44"/>
    </x:row>
    <x:row r="367">
      <x:c r="J367" s="40"/>
      <x:c r="K367" s="40"/>
      <x:c r="N367" s="42"/>
      <x:c r="O367" s="44"/>
      <x:c r="P367" s="44"/>
    </x:row>
    <x:row r="368">
      <x:c r="J368" s="40"/>
      <x:c r="K368" s="40"/>
      <x:c r="N368" s="42"/>
      <x:c r="O368" s="44"/>
      <x:c r="P368" s="44"/>
    </x:row>
    <x:row r="369">
      <x:c r="J369" s="40"/>
      <x:c r="K369" s="40"/>
      <x:c r="N369" s="42"/>
      <x:c r="O369" s="44"/>
      <x:c r="P369" s="44"/>
    </x:row>
    <x:row r="370">
      <x:c r="J370" s="40"/>
      <x:c r="K370" s="40"/>
      <x:c r="N370" s="42"/>
      <x:c r="O370" s="44"/>
      <x:c r="P370" s="44"/>
    </x:row>
    <x:row r="371">
      <x:c r="J371" s="40"/>
      <x:c r="K371" s="40"/>
      <x:c r="N371" s="42"/>
      <x:c r="O371" s="44"/>
      <x:c r="P371" s="44"/>
    </x:row>
    <x:row r="372">
      <x:c r="J372" s="40"/>
      <x:c r="K372" s="40"/>
      <x:c r="N372" s="42"/>
      <x:c r="O372" s="44"/>
      <x:c r="P372" s="44"/>
    </x:row>
    <x:row r="373">
      <x:c r="J373" s="40"/>
      <x:c r="K373" s="40"/>
      <x:c r="N373" s="42"/>
      <x:c r="O373" s="44"/>
      <x:c r="P373" s="44"/>
    </x:row>
    <x:row r="374">
      <x:c r="J374" s="40"/>
      <x:c r="K374" s="40"/>
      <x:c r="N374" s="42"/>
      <x:c r="O374" s="44"/>
      <x:c r="P374" s="44"/>
    </x:row>
    <x:row r="375">
      <x:c r="J375" s="40"/>
      <x:c r="K375" s="40"/>
      <x:c r="N375" s="42"/>
      <x:c r="O375" s="44"/>
      <x:c r="P375" s="44"/>
    </x:row>
    <x:row r="376">
      <x:c r="J376" s="40"/>
      <x:c r="K376" s="40"/>
      <x:c r="N376" s="42"/>
      <x:c r="O376" s="44"/>
      <x:c r="P376" s="44"/>
    </x:row>
    <x:row r="377">
      <x:c r="J377" s="40"/>
      <x:c r="K377" s="40"/>
      <x:c r="N377" s="42"/>
      <x:c r="O377" s="44"/>
      <x:c r="P377" s="44"/>
    </x:row>
    <x:row r="378">
      <x:c r="J378" s="40"/>
      <x:c r="K378" s="40"/>
      <x:c r="N378" s="42"/>
      <x:c r="O378" s="44"/>
      <x:c r="P378" s="44"/>
    </x:row>
    <x:row r="379">
      <x:c r="J379" s="40"/>
      <x:c r="K379" s="40"/>
      <x:c r="N379" s="42"/>
      <x:c r="O379" s="44"/>
      <x:c r="P379" s="44"/>
    </x:row>
    <x:row r="380">
      <x:c r="J380" s="40"/>
      <x:c r="K380" s="40"/>
      <x:c r="N380" s="42"/>
      <x:c r="O380" s="44"/>
      <x:c r="P380" s="44"/>
    </x:row>
    <x:row r="381">
      <x:c r="J381" s="40"/>
      <x:c r="K381" s="40"/>
      <x:c r="N381" s="42"/>
      <x:c r="O381" s="44"/>
      <x:c r="P381" s="44"/>
    </x:row>
    <x:row r="382">
      <x:c r="J382" s="40"/>
      <x:c r="K382" s="40"/>
      <x:c r="N382" s="42"/>
      <x:c r="O382" s="44"/>
      <x:c r="P382" s="44"/>
    </x:row>
    <x:row r="383">
      <x:c r="J383" s="40"/>
      <x:c r="K383" s="40"/>
      <x:c r="N383" s="42"/>
      <x:c r="O383" s="44"/>
      <x:c r="P383" s="44"/>
    </x:row>
    <x:row r="384">
      <x:c r="J384" s="40"/>
      <x:c r="K384" s="40"/>
      <x:c r="N384" s="42"/>
      <x:c r="O384" s="44"/>
      <x:c r="P384" s="44"/>
    </x:row>
    <x:row r="385">
      <x:c r="J385" s="40"/>
      <x:c r="K385" s="40"/>
      <x:c r="N385" s="42"/>
      <x:c r="O385" s="44"/>
      <x:c r="P385" s="44"/>
    </x:row>
    <x:row r="386">
      <x:c r="J386" s="40"/>
      <x:c r="K386" s="40"/>
      <x:c r="N386" s="42"/>
      <x:c r="O386" s="44"/>
      <x:c r="P386" s="44"/>
    </x:row>
    <x:row r="387">
      <x:c r="J387" s="40"/>
      <x:c r="K387" s="40"/>
      <x:c r="N387" s="42"/>
      <x:c r="O387" s="44"/>
      <x:c r="P387" s="44"/>
    </x:row>
    <x:row r="388">
      <x:c r="J388" s="40"/>
      <x:c r="K388" s="40"/>
      <x:c r="N388" s="42"/>
      <x:c r="O388" s="44"/>
      <x:c r="P388" s="44"/>
    </x:row>
    <x:row r="389">
      <x:c r="J389" s="40"/>
      <x:c r="K389" s="40"/>
      <x:c r="N389" s="42"/>
      <x:c r="O389" s="44"/>
      <x:c r="P389" s="44"/>
    </x:row>
    <x:row r="390">
      <x:c r="J390" s="40"/>
      <x:c r="K390" s="40"/>
      <x:c r="N390" s="42"/>
      <x:c r="O390" s="44"/>
      <x:c r="P390" s="44"/>
    </x:row>
    <x:row r="391">
      <x:c r="J391" s="40"/>
      <x:c r="K391" s="40"/>
      <x:c r="N391" s="42"/>
      <x:c r="O391" s="44"/>
      <x:c r="P391" s="44"/>
    </x:row>
    <x:row r="392">
      <x:c r="J392" s="40"/>
      <x:c r="K392" s="40"/>
      <x:c r="N392" s="42"/>
      <x:c r="O392" s="44"/>
      <x:c r="P392" s="44"/>
    </x:row>
    <x:row r="393">
      <x:c r="J393" s="40"/>
      <x:c r="K393" s="40"/>
      <x:c r="N393" s="42"/>
      <x:c r="O393" s="44"/>
      <x:c r="P393" s="44"/>
    </x:row>
    <x:row r="394">
      <x:c r="J394" s="40"/>
      <x:c r="K394" s="40"/>
      <x:c r="N394" s="42"/>
      <x:c r="O394" s="44"/>
      <x:c r="P394" s="44"/>
    </x:row>
    <x:row r="395">
      <x:c r="J395" s="40"/>
      <x:c r="K395" s="40"/>
      <x:c r="N395" s="42"/>
      <x:c r="O395" s="44"/>
      <x:c r="P395" s="44"/>
    </x:row>
    <x:row r="396">
      <x:c r="J396" s="40"/>
      <x:c r="K396" s="40"/>
      <x:c r="N396" s="42"/>
      <x:c r="O396" s="44"/>
      <x:c r="P396" s="44"/>
    </x:row>
    <x:row r="397">
      <x:c r="J397" s="40"/>
      <x:c r="K397" s="40"/>
      <x:c r="N397" s="42"/>
      <x:c r="O397" s="44"/>
      <x:c r="P397" s="44"/>
    </x:row>
    <x:row r="398">
      <x:c r="J398" s="40"/>
      <x:c r="K398" s="40"/>
      <x:c r="N398" s="42"/>
      <x:c r="O398" s="44"/>
      <x:c r="P398" s="44"/>
    </x:row>
    <x:row r="399">
      <x:c r="J399" s="40"/>
      <x:c r="K399" s="40"/>
      <x:c r="N399" s="42"/>
      <x:c r="O399" s="44"/>
      <x:c r="P399" s="44"/>
    </x:row>
    <x:row r="400">
      <x:c r="J400" s="40"/>
      <x:c r="K400" s="40"/>
      <x:c r="N400" s="42"/>
      <x:c r="O400" s="44"/>
      <x:c r="P400" s="44"/>
    </x:row>
    <x:row r="401">
      <x:c r="J401" s="40"/>
      <x:c r="K401" s="40"/>
      <x:c r="N401" s="42"/>
      <x:c r="O401" s="44"/>
      <x:c r="P401" s="44"/>
    </x:row>
    <x:row r="402">
      <x:c r="J402" s="40"/>
      <x:c r="K402" s="40"/>
      <x:c r="N402" s="42"/>
      <x:c r="O402" s="44"/>
      <x:c r="P402" s="44"/>
    </x:row>
    <x:row r="403">
      <x:c r="J403" s="40"/>
      <x:c r="K403" s="40"/>
      <x:c r="N403" s="42"/>
      <x:c r="O403" s="44"/>
      <x:c r="P403" s="44"/>
    </x:row>
    <x:row r="404">
      <x:c r="J404" s="40"/>
      <x:c r="K404" s="40"/>
      <x:c r="N404" s="42"/>
      <x:c r="O404" s="44"/>
      <x:c r="P404" s="44"/>
    </x:row>
    <x:row r="405">
      <x:c r="J405" s="40"/>
      <x:c r="K405" s="40"/>
      <x:c r="N405" s="42"/>
      <x:c r="O405" s="44"/>
      <x:c r="P405" s="44"/>
    </x:row>
    <x:row r="406">
      <x:c r="J406" s="40"/>
      <x:c r="K406" s="40"/>
      <x:c r="N406" s="42"/>
      <x:c r="O406" s="44"/>
      <x:c r="P406" s="44"/>
    </x:row>
    <x:row r="407">
      <x:c r="J407" s="40"/>
      <x:c r="K407" s="40"/>
      <x:c r="N407" s="42"/>
      <x:c r="O407" s="44"/>
      <x:c r="P407" s="44"/>
    </x:row>
    <x:row r="408">
      <x:c r="J408" s="40"/>
      <x:c r="K408" s="40"/>
      <x:c r="N408" s="42"/>
      <x:c r="O408" s="44"/>
      <x:c r="P408" s="44"/>
    </x:row>
    <x:row r="409">
      <x:c r="J409" s="40"/>
      <x:c r="K409" s="40"/>
      <x:c r="N409" s="42"/>
      <x:c r="O409" s="44"/>
      <x:c r="P409" s="44"/>
    </x:row>
    <x:row r="410">
      <x:c r="J410" s="40"/>
      <x:c r="K410" s="40"/>
      <x:c r="N410" s="42"/>
      <x:c r="O410" s="44"/>
      <x:c r="P410" s="44"/>
    </x:row>
    <x:row r="411">
      <x:c r="J411" s="40"/>
      <x:c r="K411" s="40"/>
      <x:c r="N411" s="42"/>
      <x:c r="O411" s="44"/>
      <x:c r="P411" s="44"/>
    </x:row>
    <x:row r="412">
      <x:c r="J412" s="40"/>
      <x:c r="K412" s="40"/>
      <x:c r="N412" s="42"/>
      <x:c r="O412" s="44"/>
      <x:c r="P412" s="44"/>
    </x:row>
    <x:row r="413">
      <x:c r="J413" s="40"/>
      <x:c r="K413" s="40"/>
      <x:c r="N413" s="42"/>
      <x:c r="O413" s="44"/>
      <x:c r="P413" s="44"/>
    </x:row>
    <x:row r="414">
      <x:c r="J414" s="40"/>
      <x:c r="K414" s="40"/>
      <x:c r="N414" s="42"/>
      <x:c r="O414" s="44"/>
      <x:c r="P414" s="44"/>
    </x:row>
    <x:row r="415">
      <x:c r="J415" s="40"/>
      <x:c r="K415" s="40"/>
      <x:c r="N415" s="42"/>
      <x:c r="O415" s="44"/>
      <x:c r="P415" s="44"/>
    </x:row>
    <x:row r="416">
      <x:c r="J416" s="40"/>
      <x:c r="K416" s="40"/>
      <x:c r="N416" s="42"/>
      <x:c r="O416" s="44"/>
      <x:c r="P416" s="44"/>
    </x:row>
    <x:row r="417">
      <x:c r="J417" s="40"/>
      <x:c r="K417" s="40"/>
      <x:c r="N417" s="42"/>
      <x:c r="O417" s="44"/>
      <x:c r="P417" s="44"/>
    </x:row>
    <x:row r="418">
      <x:c r="J418" s="40"/>
      <x:c r="K418" s="40"/>
      <x:c r="N418" s="42"/>
      <x:c r="O418" s="44"/>
      <x:c r="P418" s="44"/>
    </x:row>
    <x:row r="419">
      <x:c r="J419" s="40"/>
      <x:c r="K419" s="40"/>
      <x:c r="N419" s="42"/>
      <x:c r="O419" s="44"/>
      <x:c r="P419" s="44"/>
    </x:row>
    <x:row r="420">
      <x:c r="J420" s="40"/>
      <x:c r="K420" s="40"/>
      <x:c r="N420" s="42"/>
      <x:c r="O420" s="44"/>
      <x:c r="P420" s="44"/>
    </x:row>
    <x:row r="421">
      <x:c r="J421" s="40"/>
      <x:c r="K421" s="40"/>
      <x:c r="N421" s="42"/>
      <x:c r="O421" s="44"/>
      <x:c r="P421" s="44"/>
    </x:row>
    <x:row r="422">
      <x:c r="J422" s="40"/>
      <x:c r="K422" s="40"/>
      <x:c r="N422" s="42"/>
      <x:c r="O422" s="44"/>
      <x:c r="P422" s="44"/>
    </x:row>
    <x:row r="423">
      <x:c r="J423" s="40"/>
      <x:c r="K423" s="40"/>
      <x:c r="N423" s="42"/>
      <x:c r="O423" s="44"/>
      <x:c r="P423" s="44"/>
    </x:row>
    <x:row r="424">
      <x:c r="J424" s="40"/>
      <x:c r="K424" s="40"/>
      <x:c r="N424" s="42"/>
      <x:c r="O424" s="44"/>
      <x:c r="P424" s="44"/>
    </x:row>
    <x:row r="425">
      <x:c r="J425" s="40"/>
      <x:c r="K425" s="40"/>
      <x:c r="N425" s="42"/>
      <x:c r="O425" s="44"/>
      <x:c r="P425" s="44"/>
    </x:row>
    <x:row r="426">
      <x:c r="J426" s="40"/>
      <x:c r="K426" s="40"/>
      <x:c r="N426" s="42"/>
      <x:c r="O426" s="44"/>
      <x:c r="P426" s="44"/>
    </x:row>
    <x:row r="427">
      <x:c r="J427" s="40"/>
      <x:c r="K427" s="40"/>
      <x:c r="N427" s="42"/>
      <x:c r="O427" s="44"/>
      <x:c r="P427" s="44"/>
    </x:row>
    <x:row r="428">
      <x:c r="J428" s="40"/>
      <x:c r="K428" s="40"/>
      <x:c r="N428" s="42"/>
      <x:c r="O428" s="44"/>
      <x:c r="P428" s="44"/>
    </x:row>
    <x:row r="429">
      <x:c r="J429" s="40"/>
      <x:c r="K429" s="40"/>
      <x:c r="N429" s="42"/>
      <x:c r="O429" s="44"/>
      <x:c r="P429" s="44"/>
    </x:row>
    <x:row r="430">
      <x:c r="J430" s="40"/>
      <x:c r="K430" s="40"/>
      <x:c r="N430" s="42"/>
      <x:c r="O430" s="44"/>
      <x:c r="P430" s="44"/>
    </x:row>
    <x:row r="431">
      <x:c r="J431" s="40"/>
      <x:c r="K431" s="40"/>
      <x:c r="N431" s="42"/>
      <x:c r="O431" s="44"/>
      <x:c r="P431" s="44"/>
    </x:row>
    <x:row r="432">
      <x:c r="J432" s="40"/>
      <x:c r="K432" s="40"/>
      <x:c r="N432" s="42"/>
      <x:c r="O432" s="44"/>
      <x:c r="P432" s="44"/>
    </x:row>
    <x:row r="433">
      <x:c r="J433" s="40"/>
      <x:c r="K433" s="40"/>
      <x:c r="N433" s="42"/>
      <x:c r="O433" s="44"/>
      <x:c r="P433" s="44"/>
    </x:row>
    <x:row r="434">
      <x:c r="J434" s="40"/>
      <x:c r="K434" s="40"/>
      <x:c r="N434" s="42"/>
      <x:c r="O434" s="44"/>
      <x:c r="P434" s="44"/>
    </x:row>
    <x:row r="435">
      <x:c r="J435" s="40"/>
      <x:c r="K435" s="40"/>
      <x:c r="N435" s="42"/>
      <x:c r="O435" s="44"/>
      <x:c r="P435" s="44"/>
    </x:row>
    <x:row r="436">
      <x:c r="J436" s="40"/>
      <x:c r="K436" s="40"/>
      <x:c r="N436" s="42"/>
      <x:c r="O436" s="44"/>
      <x:c r="P436" s="44"/>
    </x:row>
    <x:row r="437">
      <x:c r="J437" s="40"/>
      <x:c r="K437" s="40"/>
      <x:c r="N437" s="42"/>
      <x:c r="O437" s="44"/>
      <x:c r="P437" s="44"/>
    </x:row>
    <x:row r="438">
      <x:c r="J438" s="40"/>
      <x:c r="K438" s="40"/>
      <x:c r="N438" s="42"/>
      <x:c r="O438" s="44"/>
      <x:c r="P438" s="44"/>
    </x:row>
    <x:row r="439">
      <x:c r="J439" s="40"/>
      <x:c r="K439" s="40"/>
      <x:c r="N439" s="42"/>
      <x:c r="O439" s="44"/>
      <x:c r="P439" s="44"/>
    </x:row>
    <x:row r="440">
      <x:c r="J440" s="40"/>
      <x:c r="K440" s="40"/>
      <x:c r="N440" s="42"/>
      <x:c r="O440" s="44"/>
      <x:c r="P440" s="44"/>
    </x:row>
    <x:row r="441">
      <x:c r="J441" s="40"/>
      <x:c r="K441" s="40"/>
      <x:c r="N441" s="42"/>
      <x:c r="O441" s="44"/>
      <x:c r="P441" s="44"/>
    </x:row>
    <x:row r="442">
      <x:c r="J442" s="40"/>
      <x:c r="K442" s="40"/>
      <x:c r="N442" s="42"/>
      <x:c r="O442" s="44"/>
      <x:c r="P442" s="44"/>
    </x:row>
    <x:row r="443">
      <x:c r="J443" s="40"/>
      <x:c r="K443" s="40"/>
      <x:c r="N443" s="42"/>
      <x:c r="O443" s="44"/>
      <x:c r="P443" s="44"/>
    </x:row>
    <x:row r="444">
      <x:c r="J444" s="40"/>
      <x:c r="K444" s="40"/>
      <x:c r="N444" s="42"/>
      <x:c r="O444" s="44"/>
      <x:c r="P444" s="44"/>
    </x:row>
    <x:row r="445">
      <x:c r="J445" s="40"/>
      <x:c r="K445" s="40"/>
      <x:c r="N445" s="42"/>
      <x:c r="O445" s="44"/>
      <x:c r="P445" s="44"/>
    </x:row>
    <x:row r="446">
      <x:c r="J446" s="40"/>
      <x:c r="K446" s="40"/>
      <x:c r="N446" s="42"/>
      <x:c r="O446" s="44"/>
      <x:c r="P446" s="44"/>
    </x:row>
    <x:row r="447">
      <x:c r="J447" s="40"/>
      <x:c r="K447" s="40"/>
      <x:c r="N447" s="42"/>
      <x:c r="O447" s="44"/>
      <x:c r="P447" s="44"/>
    </x:row>
    <x:row r="448">
      <x:c r="J448" s="40"/>
      <x:c r="K448" s="40"/>
      <x:c r="N448" s="42"/>
      <x:c r="O448" s="44"/>
      <x:c r="P448" s="44"/>
    </x:row>
    <x:row r="449">
      <x:c r="J449" s="40"/>
      <x:c r="K449" s="40"/>
      <x:c r="N449" s="42"/>
      <x:c r="O449" s="44"/>
      <x:c r="P449" s="44"/>
    </x:row>
    <x:row r="450">
      <x:c r="J450" s="40"/>
      <x:c r="K450" s="40"/>
      <x:c r="N450" s="42"/>
      <x:c r="O450" s="44"/>
      <x:c r="P450" s="44"/>
    </x:row>
    <x:row r="451">
      <x:c r="J451" s="40"/>
      <x:c r="K451" s="40"/>
      <x:c r="N451" s="42"/>
      <x:c r="O451" s="44"/>
      <x:c r="P451" s="44"/>
    </x:row>
    <x:row r="452">
      <x:c r="J452" s="40"/>
      <x:c r="K452" s="40"/>
      <x:c r="N452" s="42"/>
      <x:c r="O452" s="44"/>
      <x:c r="P452" s="44"/>
    </x:row>
    <x:row r="453">
      <x:c r="J453" s="40"/>
      <x:c r="K453" s="40"/>
      <x:c r="N453" s="42"/>
      <x:c r="O453" s="44"/>
      <x:c r="P453" s="44"/>
    </x:row>
    <x:row r="454">
      <x:c r="J454" s="40"/>
      <x:c r="K454" s="40"/>
      <x:c r="N454" s="42"/>
      <x:c r="O454" s="44"/>
      <x:c r="P454" s="44"/>
    </x:row>
    <x:row r="455">
      <x:c r="J455" s="40"/>
      <x:c r="K455" s="40"/>
      <x:c r="N455" s="42"/>
      <x:c r="O455" s="44"/>
      <x:c r="P455" s="44"/>
    </x:row>
    <x:row r="456">
      <x:c r="J456" s="40"/>
      <x:c r="K456" s="40"/>
      <x:c r="N456" s="42"/>
      <x:c r="O456" s="44"/>
      <x:c r="P456" s="44"/>
    </x:row>
    <x:row r="457">
      <x:c r="J457" s="40"/>
      <x:c r="K457" s="40"/>
      <x:c r="N457" s="42"/>
      <x:c r="O457" s="44"/>
      <x:c r="P457" s="44"/>
    </x:row>
    <x:row r="458">
      <x:c r="J458" s="40"/>
      <x:c r="K458" s="40"/>
      <x:c r="N458" s="42"/>
      <x:c r="O458" s="44"/>
      <x:c r="P458" s="44"/>
    </x:row>
    <x:row r="459">
      <x:c r="J459" s="40"/>
      <x:c r="K459" s="40"/>
      <x:c r="N459" s="42"/>
      <x:c r="O459" s="44"/>
      <x:c r="P459" s="44"/>
    </x:row>
    <x:row r="460">
      <x:c r="J460" s="40"/>
      <x:c r="K460" s="40"/>
      <x:c r="N460" s="42"/>
      <x:c r="O460" s="44"/>
      <x:c r="P460" s="44"/>
    </x:row>
    <x:row r="461">
      <x:c r="J461" s="40"/>
      <x:c r="K461" s="40"/>
      <x:c r="N461" s="42"/>
      <x:c r="O461" s="44"/>
      <x:c r="P461" s="44"/>
    </x:row>
    <x:row r="462">
      <x:c r="J462" s="40"/>
      <x:c r="K462" s="40"/>
      <x:c r="N462" s="42"/>
      <x:c r="O462" s="44"/>
      <x:c r="P462" s="44"/>
    </x:row>
    <x:row r="463">
      <x:c r="J463" s="40"/>
      <x:c r="K463" s="40"/>
      <x:c r="N463" s="42"/>
      <x:c r="O463" s="44"/>
      <x:c r="P463" s="44"/>
    </x:row>
    <x:row r="464">
      <x:c r="J464" s="40"/>
      <x:c r="K464" s="40"/>
      <x:c r="N464" s="42"/>
      <x:c r="O464" s="44"/>
      <x:c r="P464" s="44"/>
    </x:row>
    <x:row r="465">
      <x:c r="J465" s="40"/>
      <x:c r="K465" s="40"/>
      <x:c r="N465" s="42"/>
      <x:c r="O465" s="44"/>
      <x:c r="P465" s="44"/>
    </x:row>
    <x:row r="466">
      <x:c r="J466" s="40"/>
      <x:c r="K466" s="40"/>
      <x:c r="N466" s="42"/>
      <x:c r="O466" s="44"/>
      <x:c r="P466" s="44"/>
    </x:row>
    <x:row r="467">
      <x:c r="J467" s="40"/>
      <x:c r="K467" s="40"/>
      <x:c r="N467" s="42"/>
      <x:c r="O467" s="44"/>
      <x:c r="P467" s="44"/>
    </x:row>
    <x:row r="468">
      <x:c r="J468" s="40"/>
      <x:c r="K468" s="40"/>
      <x:c r="N468" s="42"/>
      <x:c r="O468" s="44"/>
      <x:c r="P468" s="44"/>
    </x:row>
    <x:row r="469">
      <x:c r="J469" s="40"/>
      <x:c r="K469" s="40"/>
      <x:c r="N469" s="42"/>
      <x:c r="O469" s="44"/>
      <x:c r="P469" s="44"/>
    </x:row>
    <x:row r="470">
      <x:c r="J470" s="40"/>
      <x:c r="K470" s="40"/>
      <x:c r="N470" s="42"/>
      <x:c r="O470" s="44"/>
      <x:c r="P470" s="44"/>
    </x:row>
    <x:row r="471">
      <x:c r="J471" s="40"/>
      <x:c r="K471" s="40"/>
      <x:c r="N471" s="42"/>
      <x:c r="O471" s="44"/>
      <x:c r="P471" s="44"/>
    </x:row>
    <x:row r="472">
      <x:c r="J472" s="40"/>
      <x:c r="K472" s="40"/>
      <x:c r="N472" s="42"/>
      <x:c r="O472" s="44"/>
      <x:c r="P472" s="44"/>
    </x:row>
    <x:row r="473">
      <x:c r="J473" s="40"/>
      <x:c r="K473" s="40"/>
      <x:c r="N473" s="42"/>
      <x:c r="O473" s="44"/>
      <x:c r="P473" s="44"/>
    </x:row>
    <x:row r="474">
      <x:c r="J474" s="40"/>
      <x:c r="K474" s="40"/>
      <x:c r="N474" s="42"/>
      <x:c r="O474" s="44"/>
      <x:c r="P474" s="44"/>
    </x:row>
    <x:row r="475">
      <x:c r="J475" s="40"/>
      <x:c r="K475" s="40"/>
      <x:c r="N475" s="42"/>
      <x:c r="O475" s="44"/>
      <x:c r="P475" s="44"/>
    </x:row>
    <x:row r="476">
      <x:c r="J476" s="40"/>
      <x:c r="K476" s="40"/>
      <x:c r="N476" s="42"/>
      <x:c r="O476" s="44"/>
      <x:c r="P476" s="44"/>
    </x:row>
    <x:row r="477">
      <x:c r="J477" s="40"/>
      <x:c r="K477" s="40"/>
      <x:c r="N477" s="42"/>
      <x:c r="O477" s="44"/>
      <x:c r="P477" s="44"/>
    </x:row>
    <x:row r="478">
      <x:c r="J478" s="40"/>
      <x:c r="K478" s="40"/>
      <x:c r="N478" s="42"/>
      <x:c r="O478" s="44"/>
      <x:c r="P478" s="44"/>
    </x:row>
    <x:row r="479">
      <x:c r="J479" s="40"/>
      <x:c r="K479" s="40"/>
      <x:c r="N479" s="42"/>
      <x:c r="O479" s="44"/>
      <x:c r="P479" s="44"/>
    </x:row>
    <x:row r="480">
      <x:c r="J480" s="40"/>
      <x:c r="K480" s="40"/>
      <x:c r="N480" s="42"/>
      <x:c r="O480" s="44"/>
      <x:c r="P480" s="44"/>
    </x:row>
    <x:row r="481">
      <x:c r="J481" s="40"/>
      <x:c r="K481" s="40"/>
      <x:c r="N481" s="42"/>
      <x:c r="O481" s="44"/>
      <x:c r="P481" s="44"/>
    </x:row>
    <x:row r="482">
      <x:c r="J482" s="40"/>
      <x:c r="K482" s="40"/>
      <x:c r="N482" s="42"/>
      <x:c r="O482" s="44"/>
      <x:c r="P482" s="44"/>
    </x:row>
    <x:row r="483">
      <x:c r="J483" s="40"/>
      <x:c r="K483" s="40"/>
      <x:c r="N483" s="42"/>
      <x:c r="O483" s="44"/>
      <x:c r="P483" s="44"/>
    </x:row>
    <x:row r="484">
      <x:c r="J484" s="40"/>
      <x:c r="K484" s="40"/>
      <x:c r="N484" s="42"/>
      <x:c r="O484" s="44"/>
      <x:c r="P484" s="44"/>
    </x:row>
    <x:row r="485">
      <x:c r="J485" s="40"/>
      <x:c r="K485" s="40"/>
      <x:c r="N485" s="42"/>
      <x:c r="O485" s="44"/>
      <x:c r="P485" s="44"/>
    </x:row>
    <x:row r="486">
      <x:c r="J486" s="40"/>
      <x:c r="K486" s="40"/>
      <x:c r="N486" s="42"/>
      <x:c r="O486" s="44"/>
      <x:c r="P486" s="44"/>
    </x:row>
    <x:row r="487">
      <x:c r="J487" s="40"/>
      <x:c r="K487" s="40"/>
      <x:c r="N487" s="42"/>
      <x:c r="O487" s="44"/>
      <x:c r="P487" s="44"/>
    </x:row>
    <x:row r="488">
      <x:c r="J488" s="40"/>
      <x:c r="K488" s="40"/>
      <x:c r="N488" s="42"/>
      <x:c r="O488" s="44"/>
      <x:c r="P488" s="44"/>
    </x:row>
    <x:row r="489">
      <x:c r="J489" s="40"/>
      <x:c r="K489" s="40"/>
      <x:c r="N489" s="42"/>
      <x:c r="O489" s="44"/>
      <x:c r="P489" s="44"/>
    </x:row>
    <x:row r="490">
      <x:c r="J490" s="40"/>
      <x:c r="K490" s="40"/>
      <x:c r="N490" s="42"/>
      <x:c r="O490" s="44"/>
      <x:c r="P490" s="44"/>
    </x:row>
    <x:row r="491">
      <x:c r="J491" s="40"/>
      <x:c r="K491" s="40"/>
      <x:c r="N491" s="42"/>
      <x:c r="O491" s="44"/>
      <x:c r="P491" s="44"/>
    </x:row>
    <x:row r="492">
      <x:c r="J492" s="40"/>
      <x:c r="K492" s="40"/>
      <x:c r="N492" s="42"/>
      <x:c r="O492" s="44"/>
      <x:c r="P492" s="44"/>
    </x:row>
    <x:row r="493">
      <x:c r="J493" s="40"/>
      <x:c r="K493" s="40"/>
      <x:c r="N493" s="42"/>
      <x:c r="O493" s="44"/>
      <x:c r="P493" s="44"/>
    </x:row>
    <x:row r="494">
      <x:c r="J494" s="40"/>
      <x:c r="K494" s="40"/>
      <x:c r="N494" s="42"/>
      <x:c r="O494" s="44"/>
      <x:c r="P494" s="44"/>
    </x:row>
    <x:row r="495">
      <x:c r="J495" s="40"/>
      <x:c r="K495" s="40"/>
      <x:c r="N495" s="42"/>
      <x:c r="O495" s="44"/>
      <x:c r="P495" s="44"/>
    </x:row>
    <x:row r="496">
      <x:c r="J496" s="40"/>
      <x:c r="K496" s="40"/>
      <x:c r="N496" s="42"/>
      <x:c r="O496" s="44"/>
      <x:c r="P496" s="44"/>
    </x:row>
    <x:row r="497">
      <x:c r="J497" s="40"/>
      <x:c r="K497" s="40"/>
      <x:c r="N497" s="42"/>
      <x:c r="O497" s="44"/>
      <x:c r="P497" s="44"/>
    </x:row>
    <x:row r="498">
      <x:c r="J498" s="40"/>
      <x:c r="K498" s="40"/>
      <x:c r="N498" s="42"/>
      <x:c r="O498" s="44"/>
      <x:c r="P498" s="44"/>
    </x:row>
    <x:row r="499">
      <x:c r="J499" s="40"/>
      <x:c r="K499" s="40"/>
      <x:c r="N499" s="42"/>
      <x:c r="O499" s="44"/>
      <x:c r="P499" s="44"/>
    </x:row>
    <x:row r="500">
      <x:c r="J500" s="40"/>
      <x:c r="K500" s="40"/>
      <x:c r="N500" s="42"/>
      <x:c r="O500" s="44"/>
      <x:c r="P500" s="44"/>
    </x:row>
    <x:row r="501">
      <x:c r="J501" s="40"/>
      <x:c r="K501" s="40"/>
      <x:c r="N501" s="42"/>
      <x:c r="O501" s="44"/>
      <x:c r="P501" s="44"/>
    </x:row>
    <x:row r="502">
      <x:c r="J502" s="40"/>
      <x:c r="K502" s="40"/>
      <x:c r="N502" s="42"/>
      <x:c r="O502" s="44"/>
      <x:c r="P502" s="44"/>
    </x:row>
    <x:row r="503">
      <x:c r="J503" s="40"/>
      <x:c r="K503" s="40"/>
      <x:c r="N503" s="42"/>
      <x:c r="O503" s="44"/>
      <x:c r="P503" s="44"/>
    </x:row>
    <x:row r="504">
      <x:c r="J504" s="40"/>
      <x:c r="K504" s="40"/>
      <x:c r="N504" s="42"/>
      <x:c r="O504" s="44"/>
      <x:c r="P504" s="44"/>
    </x:row>
    <x:row r="505">
      <x:c r="J505" s="40"/>
      <x:c r="K505" s="40"/>
      <x:c r="N505" s="42"/>
      <x:c r="O505" s="44"/>
      <x:c r="P505" s="44"/>
    </x:row>
    <x:row r="506">
      <x:c r="J506" s="40"/>
      <x:c r="K506" s="40"/>
      <x:c r="N506" s="42"/>
      <x:c r="O506" s="44"/>
      <x:c r="P506" s="44"/>
    </x:row>
    <x:row r="507">
      <x:c r="J507" s="40"/>
      <x:c r="K507" s="40"/>
      <x:c r="N507" s="42"/>
      <x:c r="O507" s="44"/>
      <x:c r="P507" s="44"/>
    </x:row>
    <x:row r="508">
      <x:c r="J508" s="40"/>
      <x:c r="K508" s="40"/>
      <x:c r="N508" s="42"/>
      <x:c r="O508" s="44"/>
      <x:c r="P508" s="44"/>
    </x:row>
    <x:row r="509">
      <x:c r="J509" s="40"/>
      <x:c r="K509" s="40"/>
      <x:c r="N509" s="42"/>
      <x:c r="O509" s="44"/>
      <x:c r="P509" s="44"/>
    </x:row>
    <x:row r="510">
      <x:c r="J510" s="40"/>
      <x:c r="K510" s="40"/>
      <x:c r="N510" s="42"/>
      <x:c r="O510" s="44"/>
      <x:c r="P510" s="44"/>
    </x:row>
    <x:row r="511">
      <x:c r="J511" s="40"/>
      <x:c r="K511" s="40"/>
      <x:c r="N511" s="42"/>
      <x:c r="O511" s="44"/>
      <x:c r="P511" s="44"/>
    </x:row>
    <x:row r="512">
      <x:c r="J512" s="40"/>
      <x:c r="K512" s="40"/>
      <x:c r="N512" s="42"/>
      <x:c r="O512" s="44"/>
      <x:c r="P512" s="44"/>
    </x:row>
    <x:row r="513">
      <x:c r="J513" s="40"/>
      <x:c r="K513" s="40"/>
      <x:c r="N513" s="42"/>
      <x:c r="O513" s="44"/>
      <x:c r="P513" s="44"/>
    </x:row>
    <x:row r="514">
      <x:c r="J514" s="40"/>
      <x:c r="K514" s="40"/>
      <x:c r="N514" s="42"/>
      <x:c r="O514" s="44"/>
      <x:c r="P514" s="44"/>
    </x:row>
    <x:row r="515">
      <x:c r="J515" s="40"/>
      <x:c r="K515" s="40"/>
      <x:c r="N515" s="42"/>
      <x:c r="O515" s="44"/>
      <x:c r="P515" s="44"/>
    </x:row>
    <x:row r="516">
      <x:c r="J516" s="40"/>
      <x:c r="K516" s="40"/>
      <x:c r="N516" s="42"/>
      <x:c r="O516" s="44"/>
      <x:c r="P516" s="44"/>
    </x:row>
    <x:row r="517">
      <x:c r="J517" s="40"/>
      <x:c r="K517" s="40"/>
      <x:c r="N517" s="42"/>
      <x:c r="O517" s="44"/>
      <x:c r="P517" s="44"/>
    </x:row>
    <x:row r="518">
      <x:c r="J518" s="40"/>
      <x:c r="K518" s="40"/>
      <x:c r="N518" s="42"/>
      <x:c r="O518" s="44"/>
      <x:c r="P518" s="44"/>
    </x:row>
    <x:row r="519">
      <x:c r="J519" s="40"/>
      <x:c r="K519" s="40"/>
      <x:c r="N519" s="42"/>
      <x:c r="O519" s="44"/>
      <x:c r="P519" s="44"/>
    </x:row>
    <x:row r="520">
      <x:c r="J520" s="40"/>
      <x:c r="K520" s="40"/>
      <x:c r="N520" s="42"/>
      <x:c r="O520" s="44"/>
      <x:c r="P520" s="44"/>
    </x:row>
    <x:row r="521">
      <x:c r="J521" s="40"/>
      <x:c r="K521" s="40"/>
      <x:c r="N521" s="42"/>
      <x:c r="O521" s="44"/>
      <x:c r="P521" s="44"/>
    </x:row>
    <x:row r="522">
      <x:c r="J522" s="40"/>
      <x:c r="K522" s="40"/>
      <x:c r="N522" s="42"/>
      <x:c r="O522" s="44"/>
      <x:c r="P522" s="44"/>
    </x:row>
    <x:row r="523">
      <x:c r="J523" s="40"/>
      <x:c r="K523" s="40"/>
      <x:c r="N523" s="42"/>
      <x:c r="O523" s="44"/>
      <x:c r="P523" s="44"/>
    </x:row>
    <x:row r="524">
      <x:c r="J524" s="40"/>
      <x:c r="K524" s="40"/>
      <x:c r="N524" s="42"/>
      <x:c r="O524" s="44"/>
      <x:c r="P524" s="44"/>
    </x:row>
    <x:row r="525">
      <x:c r="J525" s="40"/>
      <x:c r="K525" s="40"/>
      <x:c r="N525" s="42"/>
      <x:c r="O525" s="44"/>
      <x:c r="P525" s="44"/>
    </x:row>
    <x:row r="526">
      <x:c r="J526" s="40"/>
      <x:c r="K526" s="40"/>
      <x:c r="N526" s="42"/>
      <x:c r="O526" s="44"/>
      <x:c r="P526" s="44"/>
    </x:row>
    <x:row r="527">
      <x:c r="J527" s="40"/>
      <x:c r="K527" s="40"/>
      <x:c r="N527" s="42"/>
      <x:c r="O527" s="44"/>
      <x:c r="P527" s="44"/>
    </x:row>
    <x:row r="528">
      <x:c r="J528" s="40"/>
      <x:c r="K528" s="40"/>
      <x:c r="N528" s="42"/>
      <x:c r="O528" s="44"/>
      <x:c r="P528" s="44"/>
    </x:row>
    <x:row r="529">
      <x:c r="J529" s="40"/>
      <x:c r="K529" s="40"/>
      <x:c r="N529" s="42"/>
      <x:c r="O529" s="44"/>
      <x:c r="P529" s="44"/>
    </x:row>
    <x:row r="530">
      <x:c r="J530" s="40"/>
      <x:c r="K530" s="40"/>
      <x:c r="N530" s="42"/>
      <x:c r="O530" s="44"/>
      <x:c r="P530" s="44"/>
    </x:row>
    <x:row r="531">
      <x:c r="J531" s="40"/>
      <x:c r="K531" s="40"/>
      <x:c r="N531" s="42"/>
      <x:c r="O531" s="44"/>
      <x:c r="P531" s="44"/>
    </x:row>
    <x:row r="532">
      <x:c r="J532" s="40"/>
      <x:c r="K532" s="40"/>
      <x:c r="N532" s="42"/>
      <x:c r="O532" s="44"/>
      <x:c r="P532" s="44"/>
    </x:row>
    <x:row r="533">
      <x:c r="J533" s="40"/>
      <x:c r="K533" s="40"/>
      <x:c r="N533" s="42"/>
      <x:c r="O533" s="44"/>
      <x:c r="P533" s="44"/>
    </x:row>
    <x:row r="534">
      <x:c r="J534" s="40"/>
      <x:c r="K534" s="40"/>
      <x:c r="N534" s="42"/>
      <x:c r="O534" s="44"/>
      <x:c r="P534" s="44"/>
    </x:row>
    <x:row r="535">
      <x:c r="J535" s="40"/>
      <x:c r="K535" s="40"/>
      <x:c r="N535" s="42"/>
      <x:c r="O535" s="44"/>
      <x:c r="P535" s="44"/>
    </x:row>
    <x:row r="536">
      <x:c r="J536" s="40"/>
      <x:c r="K536" s="40"/>
      <x:c r="N536" s="42"/>
      <x:c r="O536" s="44"/>
      <x:c r="P536" s="44"/>
    </x:row>
    <x:row r="537">
      <x:c r="J537" s="40"/>
      <x:c r="K537" s="40"/>
      <x:c r="N537" s="42"/>
      <x:c r="O537" s="44"/>
      <x:c r="P537" s="44"/>
    </x:row>
    <x:row r="538">
      <x:c r="J538" s="40"/>
      <x:c r="K538" s="40"/>
      <x:c r="N538" s="42"/>
      <x:c r="O538" s="44"/>
      <x:c r="P538" s="44"/>
    </x:row>
    <x:row r="539">
      <x:c r="J539" s="40"/>
      <x:c r="K539" s="40"/>
      <x:c r="N539" s="42"/>
      <x:c r="O539" s="44"/>
      <x:c r="P539" s="44"/>
    </x:row>
    <x:row r="540">
      <x:c r="J540" s="40"/>
      <x:c r="K540" s="40"/>
      <x:c r="N540" s="42"/>
      <x:c r="O540" s="44"/>
      <x:c r="P540" s="44"/>
    </x:row>
    <x:row r="541">
      <x:c r="J541" s="40"/>
      <x:c r="K541" s="40"/>
      <x:c r="N541" s="42"/>
      <x:c r="O541" s="44"/>
      <x:c r="P541" s="44"/>
    </x:row>
    <x:row r="542">
      <x:c r="J542" s="40"/>
      <x:c r="K542" s="40"/>
      <x:c r="N542" s="42"/>
      <x:c r="O542" s="44"/>
      <x:c r="P542" s="44"/>
    </x:row>
    <x:row r="543">
      <x:c r="J543" s="40"/>
      <x:c r="K543" s="40"/>
      <x:c r="N543" s="42"/>
      <x:c r="O543" s="44"/>
      <x:c r="P543" s="44"/>
    </x:row>
    <x:row r="544">
      <x:c r="J544" s="40"/>
      <x:c r="K544" s="40"/>
      <x:c r="N544" s="42"/>
      <x:c r="O544" s="44"/>
      <x:c r="P544" s="44"/>
    </x:row>
    <x:row r="545">
      <x:c r="J545" s="40"/>
      <x:c r="K545" s="40"/>
      <x:c r="N545" s="42"/>
      <x:c r="O545" s="44"/>
      <x:c r="P545" s="44"/>
    </x:row>
    <x:row r="546">
      <x:c r="J546" s="40"/>
      <x:c r="K546" s="40"/>
      <x:c r="N546" s="42"/>
      <x:c r="O546" s="44"/>
      <x:c r="P546" s="44"/>
    </x:row>
    <x:row r="547">
      <x:c r="J547" s="40"/>
      <x:c r="K547" s="40"/>
      <x:c r="N547" s="42"/>
      <x:c r="O547" s="44"/>
      <x:c r="P547" s="44"/>
    </x:row>
    <x:row r="548">
      <x:c r="J548" s="40"/>
      <x:c r="K548" s="40"/>
      <x:c r="N548" s="42"/>
      <x:c r="O548" s="44"/>
      <x:c r="P548" s="44"/>
    </x:row>
    <x:row r="549">
      <x:c r="J549" s="40"/>
      <x:c r="K549" s="40"/>
      <x:c r="N549" s="42"/>
      <x:c r="O549" s="44"/>
      <x:c r="P549" s="44"/>
    </x:row>
    <x:row r="550">
      <x:c r="J550" s="40"/>
      <x:c r="K550" s="40"/>
      <x:c r="N550" s="42"/>
      <x:c r="O550" s="44"/>
      <x:c r="P550" s="44"/>
    </x:row>
    <x:row r="551">
      <x:c r="J551" s="40"/>
      <x:c r="K551" s="40"/>
      <x:c r="N551" s="42"/>
      <x:c r="O551" s="44"/>
      <x:c r="P551" s="44"/>
    </x:row>
    <x:row r="552">
      <x:c r="J552" s="40"/>
      <x:c r="K552" s="40"/>
      <x:c r="N552" s="42"/>
      <x:c r="O552" s="44"/>
      <x:c r="P552" s="44"/>
    </x:row>
    <x:row r="553">
      <x:c r="J553" s="40"/>
      <x:c r="K553" s="40"/>
      <x:c r="N553" s="42"/>
      <x:c r="O553" s="44"/>
      <x:c r="P553" s="44"/>
    </x:row>
    <x:row r="554">
      <x:c r="J554" s="40"/>
      <x:c r="K554" s="40"/>
      <x:c r="N554" s="42"/>
      <x:c r="O554" s="44"/>
      <x:c r="P554" s="44"/>
    </x:row>
    <x:row r="555">
      <x:c r="J555" s="40"/>
      <x:c r="K555" s="40"/>
      <x:c r="N555" s="42"/>
      <x:c r="O555" s="44"/>
      <x:c r="P555" s="44"/>
    </x:row>
    <x:row r="556">
      <x:c r="J556" s="40"/>
      <x:c r="K556" s="40"/>
      <x:c r="N556" s="42"/>
      <x:c r="O556" s="44"/>
      <x:c r="P556" s="44"/>
    </x:row>
    <x:row r="557">
      <x:c r="J557" s="40"/>
      <x:c r="K557" s="40"/>
      <x:c r="N557" s="42"/>
      <x:c r="O557" s="44"/>
      <x:c r="P557" s="44"/>
    </x:row>
    <x:row r="558">
      <x:c r="J558" s="40"/>
      <x:c r="K558" s="40"/>
      <x:c r="N558" s="42"/>
      <x:c r="O558" s="44"/>
      <x:c r="P558" s="44"/>
    </x:row>
    <x:row r="559">
      <x:c r="J559" s="40"/>
      <x:c r="K559" s="40"/>
      <x:c r="N559" s="42"/>
      <x:c r="O559" s="44"/>
      <x:c r="P559" s="44"/>
    </x:row>
    <x:row r="560">
      <x:c r="J560" s="40"/>
      <x:c r="K560" s="40"/>
      <x:c r="N560" s="42"/>
      <x:c r="O560" s="44"/>
      <x:c r="P560" s="44"/>
    </x:row>
    <x:row r="561">
      <x:c r="J561" s="40"/>
      <x:c r="K561" s="40"/>
      <x:c r="N561" s="42"/>
      <x:c r="O561" s="44"/>
      <x:c r="P561" s="44"/>
    </x:row>
    <x:row r="562">
      <x:c r="J562" s="40"/>
      <x:c r="K562" s="40"/>
      <x:c r="N562" s="42"/>
      <x:c r="O562" s="44"/>
      <x:c r="P562" s="44"/>
    </x:row>
    <x:row r="563">
      <x:c r="J563" s="40"/>
      <x:c r="K563" s="40"/>
      <x:c r="N563" s="42"/>
      <x:c r="O563" s="44"/>
      <x:c r="P563" s="44"/>
    </x:row>
    <x:row r="564">
      <x:c r="J564" s="40"/>
      <x:c r="K564" s="40"/>
      <x:c r="N564" s="42"/>
      <x:c r="O564" s="44"/>
      <x:c r="P564" s="44"/>
    </x:row>
    <x:row r="565">
      <x:c r="J565" s="40"/>
      <x:c r="K565" s="40"/>
      <x:c r="N565" s="42"/>
      <x:c r="O565" s="44"/>
      <x:c r="P565" s="44"/>
    </x:row>
    <x:row r="566">
      <x:c r="J566" s="40"/>
      <x:c r="K566" s="40"/>
      <x:c r="N566" s="42"/>
      <x:c r="O566" s="44"/>
      <x:c r="P566" s="44"/>
    </x:row>
    <x:row r="567">
      <x:c r="J567" s="40"/>
      <x:c r="K567" s="40"/>
      <x:c r="N567" s="42"/>
      <x:c r="O567" s="44"/>
      <x:c r="P567" s="44"/>
    </x:row>
    <x:row r="568">
      <x:c r="J568" s="40"/>
      <x:c r="K568" s="40"/>
      <x:c r="N568" s="42"/>
      <x:c r="O568" s="44"/>
      <x:c r="P568" s="44"/>
    </x:row>
    <x:row r="569">
      <x:c r="J569" s="40"/>
      <x:c r="K569" s="40"/>
      <x:c r="N569" s="42"/>
      <x:c r="O569" s="44"/>
      <x:c r="P569" s="44"/>
    </x:row>
    <x:row r="570">
      <x:c r="J570" s="40"/>
      <x:c r="K570" s="40"/>
      <x:c r="N570" s="42"/>
      <x:c r="O570" s="44"/>
      <x:c r="P570" s="44"/>
    </x:row>
    <x:row r="571">
      <x:c r="J571" s="40"/>
      <x:c r="K571" s="40"/>
      <x:c r="N571" s="42"/>
      <x:c r="O571" s="44"/>
      <x:c r="P571" s="44"/>
    </x:row>
    <x:row r="572">
      <x:c r="J572" s="40"/>
      <x:c r="K572" s="40"/>
      <x:c r="N572" s="42"/>
      <x:c r="O572" s="44"/>
      <x:c r="P572" s="44"/>
    </x:row>
    <x:row r="573">
      <x:c r="J573" s="40"/>
      <x:c r="K573" s="40"/>
      <x:c r="N573" s="42"/>
      <x:c r="O573" s="44"/>
      <x:c r="P573" s="44"/>
    </x:row>
    <x:row r="574">
      <x:c r="J574" s="40"/>
      <x:c r="K574" s="40"/>
      <x:c r="N574" s="42"/>
      <x:c r="O574" s="44"/>
      <x:c r="P574" s="44"/>
    </x:row>
    <x:row r="575">
      <x:c r="J575" s="40"/>
      <x:c r="K575" s="40"/>
      <x:c r="N575" s="42"/>
      <x:c r="O575" s="44"/>
      <x:c r="P575" s="44"/>
    </x:row>
    <x:row r="576">
      <x:c r="J576" s="40"/>
      <x:c r="K576" s="40"/>
      <x:c r="N576" s="42"/>
      <x:c r="O576" s="44"/>
      <x:c r="P576" s="44"/>
    </x:row>
    <x:row r="577">
      <x:c r="J577" s="40"/>
      <x:c r="K577" s="40"/>
      <x:c r="N577" s="42"/>
      <x:c r="O577" s="44"/>
      <x:c r="P577" s="44"/>
    </x:row>
    <x:row r="578">
      <x:c r="J578" s="40"/>
      <x:c r="K578" s="40"/>
      <x:c r="N578" s="42"/>
      <x:c r="O578" s="44"/>
      <x:c r="P578" s="44"/>
    </x:row>
    <x:row r="579">
      <x:c r="J579" s="40"/>
      <x:c r="K579" s="40"/>
      <x:c r="N579" s="42"/>
      <x:c r="O579" s="44"/>
      <x:c r="P579" s="44"/>
    </x:row>
    <x:row r="580">
      <x:c r="J580" s="40"/>
      <x:c r="K580" s="40"/>
      <x:c r="N580" s="42"/>
      <x:c r="O580" s="44"/>
      <x:c r="P580" s="44"/>
    </x:row>
    <x:row r="581">
      <x:c r="J581" s="40"/>
      <x:c r="K581" s="40"/>
      <x:c r="N581" s="42"/>
      <x:c r="O581" s="44"/>
      <x:c r="P581" s="44"/>
    </x:row>
    <x:row r="582">
      <x:c r="J582" s="40"/>
      <x:c r="K582" s="40"/>
      <x:c r="N582" s="42"/>
      <x:c r="O582" s="44"/>
      <x:c r="P582" s="44"/>
    </x:row>
    <x:row r="583">
      <x:c r="J583" s="40"/>
      <x:c r="K583" s="40"/>
      <x:c r="N583" s="42"/>
      <x:c r="O583" s="44"/>
      <x:c r="P583" s="44"/>
    </x:row>
    <x:row r="584">
      <x:c r="J584" s="40"/>
      <x:c r="K584" s="40"/>
      <x:c r="N584" s="42"/>
      <x:c r="O584" s="44"/>
      <x:c r="P584" s="44"/>
    </x:row>
    <x:row r="585">
      <x:c r="J585" s="40"/>
      <x:c r="K585" s="40"/>
      <x:c r="N585" s="42"/>
      <x:c r="O585" s="44"/>
      <x:c r="P585" s="44"/>
    </x:row>
    <x:row r="586">
      <x:c r="J586" s="40"/>
      <x:c r="K586" s="40"/>
      <x:c r="N586" s="42"/>
      <x:c r="O586" s="44"/>
      <x:c r="P586" s="44"/>
    </x:row>
    <x:row r="587">
      <x:c r="J587" s="40"/>
      <x:c r="K587" s="40"/>
      <x:c r="N587" s="42"/>
      <x:c r="O587" s="44"/>
      <x:c r="P587" s="44"/>
    </x:row>
    <x:row r="588">
      <x:c r="J588" s="40"/>
      <x:c r="K588" s="40"/>
      <x:c r="N588" s="42"/>
      <x:c r="O588" s="44"/>
      <x:c r="P588" s="44"/>
    </x:row>
    <x:row r="589">
      <x:c r="J589" s="40"/>
      <x:c r="K589" s="40"/>
      <x:c r="N589" s="42"/>
      <x:c r="O589" s="44"/>
      <x:c r="P589" s="44"/>
    </x:row>
    <x:row r="590">
      <x:c r="J590" s="40"/>
      <x:c r="K590" s="40"/>
      <x:c r="N590" s="42"/>
      <x:c r="O590" s="44"/>
      <x:c r="P590" s="44"/>
    </x:row>
    <x:row r="591">
      <x:c r="J591" s="40"/>
      <x:c r="K591" s="40"/>
      <x:c r="N591" s="42"/>
      <x:c r="O591" s="44"/>
      <x:c r="P591" s="44"/>
    </x:row>
    <x:row r="592">
      <x:c r="J592" s="40"/>
      <x:c r="K592" s="40"/>
      <x:c r="N592" s="42"/>
      <x:c r="O592" s="44"/>
      <x:c r="P592" s="44"/>
    </x:row>
    <x:row r="593">
      <x:c r="J593" s="40"/>
      <x:c r="K593" s="40"/>
      <x:c r="N593" s="42"/>
      <x:c r="O593" s="44"/>
      <x:c r="P593" s="44"/>
    </x:row>
    <x:row r="594">
      <x:c r="J594" s="40"/>
      <x:c r="K594" s="40"/>
      <x:c r="N594" s="42"/>
      <x:c r="O594" s="44"/>
      <x:c r="P594" s="44"/>
    </x:row>
    <x:row r="595">
      <x:c r="J595" s="40"/>
      <x:c r="K595" s="40"/>
      <x:c r="N595" s="42"/>
      <x:c r="O595" s="44"/>
      <x:c r="P595" s="44"/>
    </x:row>
    <x:row r="596">
      <x:c r="J596" s="40"/>
      <x:c r="K596" s="40"/>
      <x:c r="N596" s="42"/>
      <x:c r="O596" s="44"/>
      <x:c r="P596" s="44"/>
    </x:row>
    <x:row r="597">
      <x:c r="J597" s="40"/>
      <x:c r="K597" s="40"/>
      <x:c r="N597" s="42"/>
      <x:c r="O597" s="44"/>
      <x:c r="P597" s="44"/>
    </x:row>
    <x:row r="598">
      <x:c r="J598" s="40"/>
      <x:c r="K598" s="40"/>
      <x:c r="N598" s="42"/>
      <x:c r="O598" s="44"/>
      <x:c r="P598" s="44"/>
    </x:row>
    <x:row r="599">
      <x:c r="J599" s="40"/>
      <x:c r="K599" s="40"/>
      <x:c r="N599" s="42"/>
      <x:c r="O599" s="44"/>
      <x:c r="P599" s="44"/>
    </x:row>
    <x:row r="600">
      <x:c r="J600" s="40"/>
      <x:c r="K600" s="40"/>
      <x:c r="N600" s="42"/>
      <x:c r="O600" s="44"/>
      <x:c r="P600" s="44"/>
    </x:row>
    <x:row r="601">
      <x:c r="J601" s="40"/>
      <x:c r="K601" s="40"/>
      <x:c r="N601" s="42"/>
      <x:c r="O601" s="44"/>
      <x:c r="P601" s="44"/>
    </x:row>
    <x:row r="602">
      <x:c r="J602" s="40"/>
      <x:c r="K602" s="40"/>
      <x:c r="N602" s="42"/>
      <x:c r="O602" s="44"/>
      <x:c r="P602" s="44"/>
    </x:row>
    <x:row r="603">
      <x:c r="J603" s="40"/>
      <x:c r="K603" s="40"/>
      <x:c r="N603" s="42"/>
      <x:c r="O603" s="44"/>
      <x:c r="P603" s="44"/>
    </x:row>
    <x:row r="604">
      <x:c r="J604" s="40"/>
      <x:c r="K604" s="40"/>
      <x:c r="N604" s="42"/>
      <x:c r="O604" s="44"/>
      <x:c r="P604" s="44"/>
    </x:row>
    <x:row r="605">
      <x:c r="J605" s="40"/>
      <x:c r="K605" s="40"/>
      <x:c r="N605" s="42"/>
      <x:c r="O605" s="44"/>
      <x:c r="P605" s="44"/>
    </x:row>
    <x:row r="606">
      <x:c r="J606" s="40"/>
      <x:c r="K606" s="40"/>
      <x:c r="N606" s="42"/>
      <x:c r="O606" s="44"/>
      <x:c r="P606" s="44"/>
    </x:row>
    <x:row r="607">
      <x:c r="J607" s="40"/>
      <x:c r="K607" s="40"/>
      <x:c r="N607" s="42"/>
      <x:c r="O607" s="44"/>
      <x:c r="P607" s="44"/>
    </x:row>
    <x:row r="608">
      <x:c r="J608" s="40"/>
      <x:c r="K608" s="40"/>
      <x:c r="N608" s="42"/>
      <x:c r="O608" s="44"/>
      <x:c r="P608" s="44"/>
    </x:row>
    <x:row r="609">
      <x:c r="J609" s="40"/>
      <x:c r="K609" s="40"/>
      <x:c r="N609" s="42"/>
      <x:c r="O609" s="44"/>
      <x:c r="P609" s="44"/>
    </x:row>
    <x:row r="610">
      <x:c r="J610" s="40"/>
      <x:c r="K610" s="40"/>
      <x:c r="N610" s="42"/>
      <x:c r="O610" s="44"/>
      <x:c r="P610" s="44"/>
    </x:row>
    <x:row r="611">
      <x:c r="J611" s="40"/>
      <x:c r="K611" s="40"/>
      <x:c r="N611" s="42"/>
      <x:c r="O611" s="44"/>
      <x:c r="P611" s="44"/>
    </x:row>
    <x:row r="612">
      <x:c r="J612" s="40"/>
      <x:c r="K612" s="40"/>
      <x:c r="N612" s="42"/>
      <x:c r="O612" s="44"/>
      <x:c r="P612" s="44"/>
    </x:row>
    <x:row r="613">
      <x:c r="J613" s="40"/>
      <x:c r="K613" s="40"/>
      <x:c r="N613" s="42"/>
      <x:c r="O613" s="44"/>
      <x:c r="P613" s="44"/>
    </x:row>
    <x:row r="614">
      <x:c r="J614" s="40"/>
      <x:c r="K614" s="40"/>
      <x:c r="N614" s="42"/>
      <x:c r="O614" s="44"/>
      <x:c r="P614" s="44"/>
    </x:row>
    <x:row r="615">
      <x:c r="J615" s="40"/>
      <x:c r="K615" s="40"/>
      <x:c r="N615" s="42"/>
      <x:c r="O615" s="44"/>
      <x:c r="P615" s="44"/>
    </x:row>
    <x:row r="616">
      <x:c r="J616" s="40"/>
      <x:c r="K616" s="40"/>
      <x:c r="N616" s="42"/>
      <x:c r="O616" s="44"/>
      <x:c r="P616" s="44"/>
    </x:row>
    <x:row r="617">
      <x:c r="J617" s="40"/>
      <x:c r="K617" s="40"/>
      <x:c r="N617" s="42"/>
      <x:c r="O617" s="44"/>
      <x:c r="P617" s="44"/>
    </x:row>
    <x:row r="618">
      <x:c r="J618" s="40"/>
      <x:c r="K618" s="40"/>
      <x:c r="N618" s="42"/>
      <x:c r="O618" s="44"/>
      <x:c r="P618" s="44"/>
    </x:row>
    <x:row r="619">
      <x:c r="J619" s="40"/>
      <x:c r="K619" s="40"/>
      <x:c r="N619" s="42"/>
      <x:c r="O619" s="44"/>
      <x:c r="P619" s="44"/>
    </x:row>
    <x:row r="620">
      <x:c r="J620" s="40"/>
      <x:c r="K620" s="40"/>
      <x:c r="N620" s="42"/>
      <x:c r="O620" s="44"/>
      <x:c r="P620" s="44"/>
    </x:row>
    <x:row r="621">
      <x:c r="J621" s="40"/>
      <x:c r="K621" s="40"/>
      <x:c r="N621" s="42"/>
      <x:c r="O621" s="44"/>
      <x:c r="P621" s="44"/>
    </x:row>
    <x:row r="622">
      <x:c r="J622" s="40"/>
      <x:c r="K622" s="40"/>
      <x:c r="N622" s="42"/>
      <x:c r="O622" s="44"/>
      <x:c r="P622" s="44"/>
    </x:row>
    <x:row r="623">
      <x:c r="J623" s="40"/>
      <x:c r="K623" s="40"/>
      <x:c r="N623" s="42"/>
      <x:c r="O623" s="44"/>
      <x:c r="P623" s="44"/>
    </x:row>
    <x:row r="624">
      <x:c r="J624" s="40"/>
      <x:c r="K624" s="40"/>
      <x:c r="N624" s="42"/>
      <x:c r="O624" s="44"/>
      <x:c r="P624" s="44"/>
    </x:row>
    <x:row r="625">
      <x:c r="J625" s="40"/>
      <x:c r="K625" s="40"/>
      <x:c r="N625" s="42"/>
      <x:c r="O625" s="44"/>
      <x:c r="P625" s="44"/>
    </x:row>
    <x:row r="626">
      <x:c r="J626" s="40"/>
      <x:c r="K626" s="40"/>
      <x:c r="N626" s="42"/>
      <x:c r="O626" s="44"/>
      <x:c r="P626" s="44"/>
    </x:row>
    <x:row r="627">
      <x:c r="J627" s="40"/>
      <x:c r="K627" s="40"/>
      <x:c r="N627" s="42"/>
      <x:c r="O627" s="44"/>
      <x:c r="P627" s="44"/>
    </x:row>
    <x:row r="628">
      <x:c r="J628" s="40"/>
      <x:c r="K628" s="40"/>
      <x:c r="N628" s="42"/>
      <x:c r="O628" s="44"/>
      <x:c r="P628" s="44"/>
    </x:row>
    <x:row r="629">
      <x:c r="J629" s="40"/>
      <x:c r="K629" s="40"/>
      <x:c r="N629" s="42"/>
      <x:c r="O629" s="44"/>
      <x:c r="P629" s="44"/>
    </x:row>
    <x:row r="630">
      <x:c r="J630" s="40"/>
      <x:c r="K630" s="40"/>
      <x:c r="N630" s="42"/>
      <x:c r="O630" s="44"/>
      <x:c r="P630" s="44"/>
    </x:row>
    <x:row r="631">
      <x:c r="J631" s="40"/>
      <x:c r="K631" s="40"/>
      <x:c r="N631" s="42"/>
      <x:c r="O631" s="44"/>
      <x:c r="P631" s="44"/>
    </x:row>
    <x:row r="632">
      <x:c r="J632" s="40"/>
      <x:c r="K632" s="40"/>
      <x:c r="N632" s="42"/>
      <x:c r="O632" s="44"/>
      <x:c r="P632" s="44"/>
    </x:row>
    <x:row r="633">
      <x:c r="J633" s="40"/>
      <x:c r="K633" s="40"/>
      <x:c r="N633" s="42"/>
      <x:c r="O633" s="44"/>
      <x:c r="P633" s="44"/>
    </x:row>
    <x:row r="634">
      <x:c r="J634" s="40"/>
      <x:c r="K634" s="40"/>
      <x:c r="N634" s="42"/>
      <x:c r="O634" s="44"/>
      <x:c r="P634" s="44"/>
    </x:row>
    <x:row r="635">
      <x:c r="J635" s="40"/>
      <x:c r="K635" s="40"/>
      <x:c r="N635" s="42"/>
      <x:c r="O635" s="44"/>
      <x:c r="P635" s="44"/>
    </x:row>
    <x:row r="636">
      <x:c r="J636" s="40"/>
      <x:c r="K636" s="40"/>
      <x:c r="N636" s="42"/>
      <x:c r="O636" s="44"/>
      <x:c r="P636" s="44"/>
    </x:row>
    <x:row r="637">
      <x:c r="J637" s="40"/>
      <x:c r="K637" s="40"/>
      <x:c r="N637" s="42"/>
      <x:c r="O637" s="44"/>
      <x:c r="P637" s="44"/>
    </x:row>
    <x:row r="638">
      <x:c r="J638" s="40"/>
      <x:c r="K638" s="40"/>
      <x:c r="N638" s="42"/>
      <x:c r="O638" s="44"/>
      <x:c r="P638" s="44"/>
    </x:row>
    <x:row r="639">
      <x:c r="J639" s="40"/>
      <x:c r="K639" s="40"/>
      <x:c r="N639" s="42"/>
      <x:c r="O639" s="44"/>
      <x:c r="P639" s="44"/>
    </x:row>
    <x:row r="640">
      <x:c r="J640" s="40"/>
      <x:c r="K640" s="40"/>
      <x:c r="N640" s="42"/>
      <x:c r="O640" s="44"/>
      <x:c r="P640" s="44"/>
    </x:row>
    <x:row r="641">
      <x:c r="J641" s="40"/>
      <x:c r="K641" s="40"/>
      <x:c r="N641" s="42"/>
      <x:c r="O641" s="44"/>
      <x:c r="P641" s="44"/>
    </x:row>
    <x:row r="642">
      <x:c r="J642" s="40"/>
      <x:c r="K642" s="40"/>
      <x:c r="N642" s="42"/>
      <x:c r="O642" s="44"/>
      <x:c r="P642" s="44"/>
    </x:row>
    <x:row r="643">
      <x:c r="J643" s="40"/>
      <x:c r="K643" s="40"/>
      <x:c r="N643" s="42"/>
      <x:c r="O643" s="44"/>
      <x:c r="P643" s="44"/>
    </x:row>
    <x:row r="644">
      <x:c r="J644" s="40"/>
      <x:c r="K644" s="40"/>
      <x:c r="N644" s="42"/>
      <x:c r="O644" s="44"/>
      <x:c r="P644" s="44"/>
    </x:row>
    <x:row r="645">
      <x:c r="J645" s="40"/>
      <x:c r="K645" s="40"/>
      <x:c r="N645" s="42"/>
      <x:c r="O645" s="44"/>
      <x:c r="P645" s="44"/>
    </x:row>
    <x:row r="646">
      <x:c r="J646" s="40"/>
      <x:c r="K646" s="40"/>
      <x:c r="N646" s="42"/>
      <x:c r="O646" s="44"/>
      <x:c r="P646" s="44"/>
    </x:row>
    <x:row r="647">
      <x:c r="J647" s="40"/>
      <x:c r="K647" s="40"/>
      <x:c r="N647" s="42"/>
      <x:c r="O647" s="44"/>
      <x:c r="P647" s="44"/>
    </x:row>
    <x:row r="648">
      <x:c r="J648" s="40"/>
      <x:c r="K648" s="40"/>
      <x:c r="N648" s="42"/>
      <x:c r="O648" s="44"/>
      <x:c r="P648" s="44"/>
    </x:row>
    <x:row r="649">
      <x:c r="J649" s="40"/>
      <x:c r="K649" s="40"/>
      <x:c r="N649" s="42"/>
      <x:c r="O649" s="44"/>
      <x:c r="P649" s="44"/>
    </x:row>
    <x:row r="650">
      <x:c r="J650" s="40"/>
      <x:c r="K650" s="40"/>
      <x:c r="N650" s="42"/>
      <x:c r="O650" s="44"/>
      <x:c r="P650" s="44"/>
    </x:row>
    <x:row r="651">
      <x:c r="J651" s="40"/>
      <x:c r="K651" s="40"/>
      <x:c r="N651" s="42"/>
      <x:c r="O651" s="44"/>
      <x:c r="P651" s="44"/>
    </x:row>
    <x:row r="652">
      <x:c r="J652" s="40"/>
      <x:c r="K652" s="40"/>
      <x:c r="N652" s="42"/>
      <x:c r="O652" s="44"/>
      <x:c r="P652" s="44"/>
    </x:row>
    <x:row r="653">
      <x:c r="J653" s="40"/>
      <x:c r="K653" s="40"/>
      <x:c r="N653" s="42"/>
      <x:c r="O653" s="44"/>
      <x:c r="P653" s="44"/>
    </x:row>
    <x:row r="654">
      <x:c r="J654" s="40"/>
      <x:c r="K654" s="40"/>
      <x:c r="N654" s="42"/>
      <x:c r="O654" s="44"/>
      <x:c r="P654" s="44"/>
    </x:row>
    <x:row r="655">
      <x:c r="J655" s="40"/>
      <x:c r="K655" s="40"/>
      <x:c r="N655" s="42"/>
      <x:c r="O655" s="44"/>
      <x:c r="P655" s="44"/>
    </x:row>
    <x:row r="656">
      <x:c r="J656" s="40"/>
      <x:c r="K656" s="40"/>
      <x:c r="N656" s="42"/>
      <x:c r="O656" s="44"/>
      <x:c r="P656" s="44"/>
    </x:row>
    <x:row r="657">
      <x:c r="J657" s="40"/>
      <x:c r="K657" s="40"/>
      <x:c r="N657" s="42"/>
      <x:c r="O657" s="44"/>
      <x:c r="P657" s="44"/>
    </x:row>
    <x:row r="658">
      <x:c r="J658" s="40"/>
      <x:c r="K658" s="40"/>
      <x:c r="N658" s="42"/>
      <x:c r="O658" s="44"/>
      <x:c r="P658" s="44"/>
    </x:row>
    <x:row r="659">
      <x:c r="J659" s="40"/>
      <x:c r="K659" s="40"/>
      <x:c r="N659" s="42"/>
      <x:c r="O659" s="44"/>
      <x:c r="P659" s="44"/>
    </x:row>
    <x:row r="660">
      <x:c r="J660" s="40"/>
      <x:c r="K660" s="40"/>
      <x:c r="N660" s="42"/>
      <x:c r="O660" s="44"/>
      <x:c r="P660" s="44"/>
    </x:row>
    <x:row r="661">
      <x:c r="J661" s="40"/>
      <x:c r="K661" s="40"/>
      <x:c r="N661" s="42"/>
      <x:c r="O661" s="44"/>
      <x:c r="P661" s="44"/>
    </x:row>
    <x:row r="662">
      <x:c r="J662" s="40"/>
      <x:c r="K662" s="40"/>
      <x:c r="N662" s="42"/>
      <x:c r="O662" s="44"/>
      <x:c r="P662" s="44"/>
    </x:row>
    <x:row r="663">
      <x:c r="J663" s="40"/>
      <x:c r="K663" s="40"/>
      <x:c r="N663" s="42"/>
      <x:c r="O663" s="44"/>
      <x:c r="P663" s="44"/>
    </x:row>
    <x:row r="664">
      <x:c r="J664" s="40"/>
      <x:c r="K664" s="40"/>
      <x:c r="N664" s="42"/>
      <x:c r="O664" s="44"/>
      <x:c r="P664" s="44"/>
    </x:row>
    <x:row r="665">
      <x:c r="J665" s="40"/>
      <x:c r="K665" s="40"/>
      <x:c r="N665" s="42"/>
      <x:c r="O665" s="44"/>
      <x:c r="P665" s="44"/>
    </x:row>
    <x:row r="666">
      <x:c r="J666" s="40"/>
      <x:c r="K666" s="40"/>
      <x:c r="N666" s="42"/>
      <x:c r="O666" s="44"/>
      <x:c r="P666" s="44"/>
    </x:row>
    <x:row r="667">
      <x:c r="J667" s="40"/>
      <x:c r="K667" s="40"/>
      <x:c r="N667" s="42"/>
      <x:c r="O667" s="44"/>
      <x:c r="P667" s="44"/>
    </x:row>
    <x:row r="668">
      <x:c r="J668" s="40"/>
      <x:c r="K668" s="40"/>
      <x:c r="N668" s="42"/>
      <x:c r="O668" s="44"/>
      <x:c r="P668" s="44"/>
    </x:row>
    <x:row r="669">
      <x:c r="J669" s="40"/>
      <x:c r="K669" s="40"/>
      <x:c r="N669" s="42"/>
      <x:c r="O669" s="44"/>
      <x:c r="P669" s="44"/>
    </x:row>
    <x:row r="670">
      <x:c r="J670" s="40"/>
      <x:c r="K670" s="40"/>
      <x:c r="N670" s="42"/>
      <x:c r="O670" s="44"/>
      <x:c r="P670" s="44"/>
    </x:row>
    <x:row r="671">
      <x:c r="J671" s="40"/>
      <x:c r="K671" s="40"/>
      <x:c r="N671" s="42"/>
      <x:c r="O671" s="44"/>
      <x:c r="P671" s="44"/>
    </x:row>
    <x:row r="672">
      <x:c r="J672" s="40"/>
      <x:c r="K672" s="40"/>
      <x:c r="N672" s="42"/>
      <x:c r="O672" s="44"/>
      <x:c r="P672" s="44"/>
    </x:row>
    <x:row r="673">
      <x:c r="J673" s="40"/>
      <x:c r="K673" s="40"/>
      <x:c r="N673" s="42"/>
      <x:c r="O673" s="44"/>
      <x:c r="P673" s="44"/>
    </x:row>
    <x:row r="674">
      <x:c r="J674" s="40"/>
      <x:c r="K674" s="40"/>
      <x:c r="N674" s="42"/>
      <x:c r="O674" s="44"/>
      <x:c r="P674" s="44"/>
    </x:row>
    <x:row r="675">
      <x:c r="J675" s="40"/>
      <x:c r="K675" s="40"/>
      <x:c r="N675" s="42"/>
      <x:c r="O675" s="44"/>
      <x:c r="P675" s="44"/>
    </x:row>
    <x:row r="676">
      <x:c r="J676" s="40"/>
      <x:c r="K676" s="40"/>
      <x:c r="N676" s="42"/>
      <x:c r="O676" s="44"/>
      <x:c r="P676" s="44"/>
    </x:row>
    <x:row r="677">
      <x:c r="J677" s="40"/>
      <x:c r="K677" s="40"/>
      <x:c r="N677" s="42"/>
      <x:c r="O677" s="44"/>
      <x:c r="P677" s="44"/>
    </x:row>
    <x:row r="678">
      <x:c r="J678" s="40"/>
      <x:c r="K678" s="40"/>
      <x:c r="N678" s="42"/>
      <x:c r="O678" s="44"/>
      <x:c r="P678" s="44"/>
    </x:row>
    <x:row r="679">
      <x:c r="J679" s="40"/>
      <x:c r="K679" s="40"/>
      <x:c r="N679" s="42"/>
      <x:c r="O679" s="44"/>
      <x:c r="P679" s="44"/>
    </x:row>
    <x:row r="680">
      <x:c r="J680" s="40"/>
      <x:c r="K680" s="40"/>
      <x:c r="N680" s="42"/>
      <x:c r="O680" s="44"/>
      <x:c r="P680" s="44"/>
    </x:row>
    <x:row r="681">
      <x:c r="J681" s="40"/>
      <x:c r="K681" s="40"/>
      <x:c r="N681" s="42"/>
      <x:c r="O681" s="44"/>
      <x:c r="P681" s="44"/>
    </x:row>
    <x:row r="682">
      <x:c r="J682" s="40"/>
      <x:c r="K682" s="40"/>
      <x:c r="N682" s="42"/>
      <x:c r="O682" s="44"/>
      <x:c r="P682" s="44"/>
    </x:row>
    <x:row r="683">
      <x:c r="J683" s="40"/>
      <x:c r="K683" s="40"/>
      <x:c r="N683" s="42"/>
      <x:c r="O683" s="44"/>
      <x:c r="P683" s="44"/>
    </x:row>
    <x:row r="684">
      <x:c r="J684" s="40"/>
      <x:c r="K684" s="40"/>
      <x:c r="N684" s="42"/>
      <x:c r="O684" s="44"/>
      <x:c r="P684" s="44"/>
    </x:row>
    <x:row r="685">
      <x:c r="J685" s="40"/>
      <x:c r="K685" s="40"/>
      <x:c r="N685" s="42"/>
      <x:c r="O685" s="44"/>
      <x:c r="P685" s="44"/>
    </x:row>
    <x:row r="686">
      <x:c r="J686" s="40"/>
      <x:c r="K686" s="40"/>
      <x:c r="N686" s="42"/>
      <x:c r="O686" s="44"/>
      <x:c r="P686" s="44"/>
    </x:row>
    <x:row r="687">
      <x:c r="J687" s="40"/>
      <x:c r="K687" s="40"/>
      <x:c r="N687" s="42"/>
      <x:c r="O687" s="44"/>
      <x:c r="P687" s="44"/>
    </x:row>
    <x:row r="688">
      <x:c r="J688" s="40"/>
      <x:c r="K688" s="40"/>
      <x:c r="N688" s="42"/>
      <x:c r="O688" s="44"/>
      <x:c r="P688" s="44"/>
    </x:row>
    <x:row r="689">
      <x:c r="J689" s="40"/>
      <x:c r="K689" s="40"/>
      <x:c r="N689" s="42"/>
      <x:c r="O689" s="44"/>
      <x:c r="P689" s="44"/>
    </x:row>
    <x:row r="690">
      <x:c r="J690" s="40"/>
      <x:c r="K690" s="40"/>
      <x:c r="N690" s="42"/>
      <x:c r="O690" s="44"/>
      <x:c r="P690" s="44"/>
    </x:row>
    <x:row r="691">
      <x:c r="J691" s="40"/>
      <x:c r="K691" s="40"/>
      <x:c r="N691" s="42"/>
      <x:c r="O691" s="44"/>
      <x:c r="P691" s="44"/>
    </x:row>
    <x:row r="692">
      <x:c r="J692" s="40"/>
      <x:c r="K692" s="40"/>
      <x:c r="N692" s="42"/>
      <x:c r="O692" s="44"/>
      <x:c r="P692" s="44"/>
    </x:row>
    <x:row r="693">
      <x:c r="J693" s="40"/>
      <x:c r="K693" s="40"/>
      <x:c r="N693" s="42"/>
      <x:c r="O693" s="44"/>
      <x:c r="P693" s="44"/>
    </x:row>
    <x:row r="694">
      <x:c r="J694" s="40"/>
      <x:c r="K694" s="40"/>
      <x:c r="N694" s="42"/>
      <x:c r="O694" s="44"/>
      <x:c r="P694" s="44"/>
    </x:row>
    <x:row r="695">
      <x:c r="J695" s="40"/>
      <x:c r="K695" s="40"/>
      <x:c r="N695" s="42"/>
      <x:c r="O695" s="44"/>
      <x:c r="P695" s="44"/>
    </x:row>
    <x:row r="696">
      <x:c r="J696" s="40"/>
      <x:c r="K696" s="40"/>
      <x:c r="N696" s="42"/>
      <x:c r="O696" s="44"/>
      <x:c r="P696" s="44"/>
    </x:row>
    <x:row r="697">
      <x:c r="J697" s="40"/>
      <x:c r="K697" s="40"/>
      <x:c r="N697" s="42"/>
      <x:c r="O697" s="44"/>
      <x:c r="P697" s="44"/>
    </x:row>
    <x:row r="698">
      <x:c r="J698" s="40"/>
      <x:c r="K698" s="40"/>
      <x:c r="N698" s="42"/>
      <x:c r="O698" s="44"/>
      <x:c r="P698" s="44"/>
    </x:row>
    <x:row r="699">
      <x:c r="J699" s="40"/>
      <x:c r="K699" s="40"/>
      <x:c r="N699" s="42"/>
      <x:c r="O699" s="44"/>
      <x:c r="P699" s="44"/>
    </x:row>
    <x:row r="700">
      <x:c r="J700" s="40"/>
      <x:c r="K700" s="40"/>
      <x:c r="N700" s="42"/>
      <x:c r="O700" s="44"/>
      <x:c r="P700" s="44"/>
    </x:row>
    <x:row r="701">
      <x:c r="J701" s="40"/>
      <x:c r="K701" s="40"/>
      <x:c r="N701" s="42"/>
      <x:c r="O701" s="44"/>
      <x:c r="P701" s="44"/>
    </x:row>
    <x:row r="702">
      <x:c r="J702" s="40"/>
      <x:c r="K702" s="40"/>
      <x:c r="N702" s="42"/>
      <x:c r="O702" s="44"/>
      <x:c r="P702" s="44"/>
    </x:row>
    <x:row r="703">
      <x:c r="J703" s="40"/>
      <x:c r="K703" s="40"/>
      <x:c r="N703" s="42"/>
      <x:c r="O703" s="44"/>
      <x:c r="P703" s="44"/>
    </x:row>
    <x:row r="704">
      <x:c r="J704" s="40"/>
      <x:c r="K704" s="40"/>
      <x:c r="N704" s="42"/>
      <x:c r="O704" s="44"/>
      <x:c r="P704" s="44"/>
    </x:row>
    <x:row r="705">
      <x:c r="J705" s="40"/>
      <x:c r="K705" s="40"/>
      <x:c r="N705" s="42"/>
      <x:c r="O705" s="44"/>
      <x:c r="P705" s="44"/>
    </x:row>
    <x:row r="706">
      <x:c r="J706" s="40"/>
      <x:c r="K706" s="40"/>
      <x:c r="N706" s="42"/>
      <x:c r="O706" s="44"/>
      <x:c r="P706" s="44"/>
    </x:row>
    <x:row r="707">
      <x:c r="J707" s="40"/>
      <x:c r="K707" s="40"/>
      <x:c r="N707" s="42"/>
      <x:c r="O707" s="44"/>
      <x:c r="P707" s="44"/>
    </x:row>
    <x:row r="708">
      <x:c r="J708" s="40"/>
      <x:c r="K708" s="40"/>
      <x:c r="N708" s="42"/>
      <x:c r="O708" s="44"/>
      <x:c r="P708" s="44"/>
    </x:row>
    <x:row r="709">
      <x:c r="J709" s="40"/>
      <x:c r="K709" s="40"/>
      <x:c r="N709" s="42"/>
      <x:c r="O709" s="44"/>
      <x:c r="P709" s="44"/>
    </x:row>
    <x:row r="710">
      <x:c r="J710" s="40"/>
      <x:c r="K710" s="40"/>
      <x:c r="N710" s="42"/>
      <x:c r="O710" s="44"/>
      <x:c r="P710" s="44"/>
    </x:row>
    <x:row r="711">
      <x:c r="J711" s="40"/>
      <x:c r="K711" s="40"/>
      <x:c r="N711" s="42"/>
      <x:c r="O711" s="44"/>
      <x:c r="P711" s="44"/>
    </x:row>
    <x:row r="712">
      <x:c r="J712" s="40"/>
      <x:c r="K712" s="40"/>
      <x:c r="N712" s="42"/>
      <x:c r="O712" s="44"/>
      <x:c r="P712" s="44"/>
    </x:row>
    <x:row r="713">
      <x:c r="J713" s="40"/>
      <x:c r="K713" s="40"/>
      <x:c r="N713" s="42"/>
      <x:c r="O713" s="44"/>
      <x:c r="P713" s="44"/>
    </x:row>
    <x:row r="714">
      <x:c r="J714" s="40"/>
      <x:c r="K714" s="40"/>
      <x:c r="N714" s="42"/>
      <x:c r="O714" s="44"/>
      <x:c r="P714" s="44"/>
    </x:row>
    <x:row r="715">
      <x:c r="J715" s="40"/>
      <x:c r="K715" s="40"/>
      <x:c r="N715" s="42"/>
      <x:c r="O715" s="44"/>
      <x:c r="P715" s="44"/>
    </x:row>
    <x:row r="716">
      <x:c r="J716" s="40"/>
      <x:c r="K716" s="40"/>
      <x:c r="N716" s="42"/>
      <x:c r="O716" s="44"/>
      <x:c r="P716" s="44"/>
    </x:row>
    <x:row r="717">
      <x:c r="J717" s="40"/>
      <x:c r="K717" s="40"/>
      <x:c r="N717" s="42"/>
      <x:c r="O717" s="44"/>
      <x:c r="P717" s="44"/>
    </x:row>
    <x:row r="718">
      <x:c r="J718" s="40"/>
      <x:c r="K718" s="40"/>
      <x:c r="N718" s="42"/>
      <x:c r="O718" s="44"/>
      <x:c r="P718" s="44"/>
    </x:row>
    <x:row r="719">
      <x:c r="J719" s="40"/>
      <x:c r="K719" s="40"/>
      <x:c r="N719" s="42"/>
      <x:c r="O719" s="44"/>
      <x:c r="P719" s="44"/>
    </x:row>
    <x:row r="720">
      <x:c r="J720" s="40"/>
      <x:c r="K720" s="40"/>
      <x:c r="N720" s="42"/>
      <x:c r="O720" s="44"/>
      <x:c r="P720" s="44"/>
    </x:row>
    <x:row r="721">
      <x:c r="J721" s="40"/>
      <x:c r="K721" s="40"/>
      <x:c r="N721" s="42"/>
      <x:c r="O721" s="44"/>
      <x:c r="P721" s="44"/>
    </x:row>
    <x:row r="722">
      <x:c r="J722" s="40"/>
      <x:c r="K722" s="40"/>
      <x:c r="N722" s="42"/>
      <x:c r="O722" s="44"/>
      <x:c r="P722" s="44"/>
    </x:row>
    <x:row r="723">
      <x:c r="J723" s="40"/>
      <x:c r="K723" s="40"/>
      <x:c r="N723" s="42"/>
      <x:c r="O723" s="44"/>
      <x:c r="P723" s="44"/>
    </x:row>
    <x:row r="724">
      <x:c r="J724" s="40"/>
      <x:c r="K724" s="40"/>
      <x:c r="N724" s="42"/>
      <x:c r="O724" s="44"/>
      <x:c r="P724" s="44"/>
    </x:row>
    <x:row r="725">
      <x:c r="J725" s="40"/>
      <x:c r="K725" s="40"/>
      <x:c r="N725" s="42"/>
      <x:c r="O725" s="44"/>
      <x:c r="P725" s="44"/>
    </x:row>
    <x:row r="726">
      <x:c r="J726" s="40"/>
      <x:c r="K726" s="40"/>
      <x:c r="N726" s="42"/>
      <x:c r="O726" s="44"/>
      <x:c r="P726" s="44"/>
    </x:row>
    <x:row r="727">
      <x:c r="J727" s="40"/>
      <x:c r="K727" s="40"/>
      <x:c r="N727" s="42"/>
      <x:c r="O727" s="44"/>
      <x:c r="P727" s="44"/>
    </x:row>
    <x:row r="728">
      <x:c r="J728" s="40"/>
      <x:c r="K728" s="40"/>
      <x:c r="N728" s="42"/>
      <x:c r="O728" s="44"/>
      <x:c r="P728" s="44"/>
    </x:row>
    <x:row r="729">
      <x:c r="J729" s="40"/>
      <x:c r="K729" s="40"/>
      <x:c r="N729" s="42"/>
      <x:c r="O729" s="44"/>
      <x:c r="P729" s="44"/>
    </x:row>
    <x:row r="730">
      <x:c r="J730" s="40"/>
      <x:c r="K730" s="40"/>
      <x:c r="N730" s="42"/>
      <x:c r="O730" s="44"/>
      <x:c r="P730" s="44"/>
    </x:row>
    <x:row r="731">
      <x:c r="J731" s="40"/>
      <x:c r="K731" s="40"/>
      <x:c r="N731" s="42"/>
      <x:c r="O731" s="44"/>
      <x:c r="P731" s="44"/>
    </x:row>
    <x:row r="732">
      <x:c r="J732" s="40"/>
      <x:c r="K732" s="40"/>
      <x:c r="N732" s="42"/>
      <x:c r="O732" s="44"/>
      <x:c r="P732" s="44"/>
    </x:row>
    <x:row r="733">
      <x:c r="J733" s="40"/>
      <x:c r="K733" s="40"/>
      <x:c r="N733" s="42"/>
      <x:c r="O733" s="44"/>
      <x:c r="P733" s="44"/>
    </x:row>
    <x:row r="734">
      <x:c r="J734" s="40"/>
      <x:c r="K734" s="40"/>
      <x:c r="N734" s="42"/>
      <x:c r="O734" s="44"/>
      <x:c r="P734" s="44"/>
    </x:row>
    <x:row r="735">
      <x:c r="J735" s="40"/>
      <x:c r="K735" s="40"/>
      <x:c r="N735" s="42"/>
      <x:c r="O735" s="44"/>
      <x:c r="P735" s="44"/>
    </x:row>
    <x:row r="736">
      <x:c r="J736" s="40"/>
      <x:c r="K736" s="40"/>
      <x:c r="N736" s="42"/>
      <x:c r="O736" s="44"/>
      <x:c r="P736" s="44"/>
    </x:row>
    <x:row r="737">
      <x:c r="J737" s="40"/>
      <x:c r="K737" s="40"/>
      <x:c r="N737" s="42"/>
      <x:c r="O737" s="44"/>
      <x:c r="P737" s="44"/>
    </x:row>
    <x:row r="738">
      <x:c r="J738" s="40"/>
      <x:c r="K738" s="40"/>
      <x:c r="N738" s="42"/>
      <x:c r="O738" s="44"/>
      <x:c r="P738" s="44"/>
    </x:row>
    <x:row r="739">
      <x:c r="J739" s="40"/>
      <x:c r="K739" s="40"/>
      <x:c r="N739" s="42"/>
      <x:c r="O739" s="44"/>
      <x:c r="P739" s="44"/>
    </x:row>
    <x:row r="740">
      <x:c r="J740" s="40"/>
      <x:c r="K740" s="40"/>
      <x:c r="N740" s="42"/>
      <x:c r="O740" s="44"/>
      <x:c r="P740" s="44"/>
    </x:row>
    <x:row r="741">
      <x:c r="J741" s="40"/>
      <x:c r="K741" s="40"/>
      <x:c r="N741" s="42"/>
      <x:c r="O741" s="44"/>
      <x:c r="P741" s="44"/>
    </x:row>
    <x:row r="742">
      <x:c r="J742" s="40"/>
      <x:c r="K742" s="40"/>
      <x:c r="N742" s="42"/>
      <x:c r="O742" s="44"/>
      <x:c r="P742" s="44"/>
    </x:row>
    <x:row r="743">
      <x:c r="J743" s="40"/>
      <x:c r="K743" s="40"/>
      <x:c r="N743" s="42"/>
      <x:c r="O743" s="44"/>
      <x:c r="P743" s="44"/>
    </x:row>
    <x:row r="744">
      <x:c r="J744" s="40"/>
      <x:c r="K744" s="40"/>
      <x:c r="N744" s="42"/>
      <x:c r="O744" s="44"/>
      <x:c r="P744" s="44"/>
    </x:row>
    <x:row r="745">
      <x:c r="J745" s="40"/>
      <x:c r="K745" s="40"/>
      <x:c r="N745" s="42"/>
      <x:c r="O745" s="44"/>
      <x:c r="P745" s="44"/>
    </x:row>
    <x:row r="746">
      <x:c r="J746" s="40"/>
      <x:c r="K746" s="40"/>
      <x:c r="N746" s="42"/>
      <x:c r="O746" s="44"/>
      <x:c r="P746" s="44"/>
    </x:row>
    <x:row r="747">
      <x:c r="J747" s="40"/>
      <x:c r="K747" s="40"/>
      <x:c r="N747" s="42"/>
      <x:c r="O747" s="44"/>
      <x:c r="P747" s="44"/>
    </x:row>
    <x:row r="748">
      <x:c r="J748" s="40"/>
      <x:c r="K748" s="40"/>
      <x:c r="N748" s="42"/>
      <x:c r="O748" s="44"/>
      <x:c r="P748" s="44"/>
    </x:row>
    <x:row r="749">
      <x:c r="J749" s="40"/>
      <x:c r="K749" s="40"/>
      <x:c r="N749" s="42"/>
      <x:c r="O749" s="44"/>
      <x:c r="P749" s="44"/>
    </x:row>
    <x:row r="750">
      <x:c r="J750" s="40"/>
      <x:c r="K750" s="40"/>
      <x:c r="N750" s="42"/>
      <x:c r="O750" s="44"/>
      <x:c r="P750" s="44"/>
    </x:row>
    <x:row r="751">
      <x:c r="J751" s="40"/>
      <x:c r="K751" s="40"/>
      <x:c r="N751" s="42"/>
      <x:c r="O751" s="44"/>
      <x:c r="P751" s="44"/>
    </x:row>
    <x:row r="752">
      <x:c r="J752" s="40"/>
      <x:c r="K752" s="40"/>
      <x:c r="N752" s="42"/>
      <x:c r="O752" s="44"/>
      <x:c r="P752" s="44"/>
    </x:row>
    <x:row r="753">
      <x:c r="J753" s="40"/>
      <x:c r="K753" s="40"/>
      <x:c r="N753" s="42"/>
      <x:c r="O753" s="44"/>
      <x:c r="P753" s="44"/>
    </x:row>
    <x:row r="754">
      <x:c r="J754" s="40"/>
      <x:c r="K754" s="40"/>
      <x:c r="N754" s="42"/>
      <x:c r="O754" s="44"/>
      <x:c r="P754" s="44"/>
    </x:row>
    <x:row r="755">
      <x:c r="J755" s="40"/>
      <x:c r="K755" s="40"/>
      <x:c r="N755" s="42"/>
      <x:c r="O755" s="44"/>
      <x:c r="P755" s="44"/>
    </x:row>
    <x:row r="756">
      <x:c r="J756" s="40"/>
      <x:c r="K756" s="40"/>
      <x:c r="N756" s="42"/>
      <x:c r="O756" s="44"/>
      <x:c r="P756" s="44"/>
    </x:row>
    <x:row r="757">
      <x:c r="J757" s="40"/>
      <x:c r="K757" s="40"/>
      <x:c r="N757" s="42"/>
      <x:c r="O757" s="44"/>
      <x:c r="P757" s="44"/>
    </x:row>
    <x:row r="758">
      <x:c r="J758" s="40"/>
      <x:c r="K758" s="40"/>
      <x:c r="N758" s="42"/>
      <x:c r="O758" s="44"/>
      <x:c r="P758" s="44"/>
    </x:row>
    <x:row r="759">
      <x:c r="J759" s="40"/>
      <x:c r="K759" s="40"/>
      <x:c r="N759" s="42"/>
      <x:c r="O759" s="44"/>
      <x:c r="P759" s="44"/>
    </x:row>
    <x:row r="760">
      <x:c r="J760" s="40"/>
      <x:c r="K760" s="40"/>
      <x:c r="N760" s="42"/>
      <x:c r="O760" s="44"/>
      <x:c r="P760" s="44"/>
    </x:row>
    <x:row r="761">
      <x:c r="J761" s="40"/>
      <x:c r="K761" s="40"/>
      <x:c r="N761" s="42"/>
      <x:c r="O761" s="44"/>
      <x:c r="P761" s="44"/>
    </x:row>
    <x:row r="762">
      <x:c r="J762" s="40"/>
      <x:c r="K762" s="40"/>
      <x:c r="N762" s="42"/>
      <x:c r="O762" s="44"/>
      <x:c r="P762" s="44"/>
    </x:row>
    <x:row r="763">
      <x:c r="J763" s="40"/>
      <x:c r="K763" s="40"/>
      <x:c r="N763" s="42"/>
      <x:c r="O763" s="44"/>
      <x:c r="P763" s="44"/>
    </x:row>
    <x:row r="764">
      <x:c r="J764" s="40"/>
      <x:c r="K764" s="40"/>
      <x:c r="N764" s="42"/>
      <x:c r="O764" s="44"/>
      <x:c r="P764" s="44"/>
    </x:row>
    <x:row r="765">
      <x:c r="J765" s="40"/>
      <x:c r="K765" s="40"/>
      <x:c r="N765" s="42"/>
      <x:c r="O765" s="44"/>
      <x:c r="P765" s="44"/>
    </x:row>
    <x:row r="766">
      <x:c r="J766" s="40"/>
      <x:c r="K766" s="40"/>
      <x:c r="N766" s="42"/>
      <x:c r="O766" s="44"/>
      <x:c r="P766" s="44"/>
    </x:row>
    <x:row r="767">
      <x:c r="J767" s="40"/>
      <x:c r="K767" s="40"/>
      <x:c r="N767" s="42"/>
      <x:c r="O767" s="44"/>
      <x:c r="P767" s="44"/>
    </x:row>
    <x:row r="768">
      <x:c r="J768" s="40"/>
      <x:c r="K768" s="40"/>
      <x:c r="N768" s="42"/>
      <x:c r="O768" s="44"/>
      <x:c r="P768" s="44"/>
    </x:row>
    <x:row r="769">
      <x:c r="J769" s="40"/>
      <x:c r="K769" s="40"/>
      <x:c r="N769" s="42"/>
      <x:c r="O769" s="44"/>
      <x:c r="P769" s="44"/>
    </x:row>
    <x:row r="770">
      <x:c r="J770" s="40"/>
      <x:c r="K770" s="40"/>
      <x:c r="N770" s="42"/>
      <x:c r="O770" s="44"/>
      <x:c r="P770" s="44"/>
    </x:row>
    <x:row r="771">
      <x:c r="J771" s="40"/>
      <x:c r="K771" s="40"/>
      <x:c r="N771" s="42"/>
      <x:c r="O771" s="44"/>
      <x:c r="P771" s="44"/>
    </x:row>
    <x:row r="772">
      <x:c r="J772" s="40"/>
      <x:c r="K772" s="40"/>
      <x:c r="N772" s="42"/>
      <x:c r="O772" s="44"/>
      <x:c r="P772" s="44"/>
    </x:row>
    <x:row r="773">
      <x:c r="J773" s="40"/>
      <x:c r="K773" s="40"/>
      <x:c r="N773" s="42"/>
      <x:c r="O773" s="44"/>
      <x:c r="P773" s="44"/>
    </x:row>
    <x:row r="774">
      <x:c r="J774" s="40"/>
      <x:c r="K774" s="40"/>
      <x:c r="N774" s="42"/>
      <x:c r="O774" s="44"/>
      <x:c r="P774" s="44"/>
    </x:row>
    <x:row r="775">
      <x:c r="J775" s="40"/>
      <x:c r="K775" s="40"/>
      <x:c r="N775" s="42"/>
      <x:c r="O775" s="44"/>
      <x:c r="P775" s="44"/>
    </x:row>
    <x:row r="776">
      <x:c r="J776" s="40"/>
      <x:c r="K776" s="40"/>
      <x:c r="N776" s="42"/>
      <x:c r="O776" s="44"/>
      <x:c r="P776" s="44"/>
    </x:row>
    <x:row r="777">
      <x:c r="J777" s="40"/>
      <x:c r="K777" s="40"/>
      <x:c r="N777" s="42"/>
      <x:c r="O777" s="44"/>
      <x:c r="P777" s="44"/>
    </x:row>
    <x:row r="778">
      <x:c r="J778" s="40"/>
      <x:c r="K778" s="40"/>
      <x:c r="N778" s="42"/>
      <x:c r="O778" s="44"/>
      <x:c r="P778" s="44"/>
    </x:row>
    <x:row r="779">
      <x:c r="J779" s="40"/>
      <x:c r="K779" s="40"/>
      <x:c r="N779" s="42"/>
      <x:c r="O779" s="44"/>
      <x:c r="P779" s="44"/>
    </x:row>
    <x:row r="780">
      <x:c r="J780" s="40"/>
      <x:c r="K780" s="40"/>
      <x:c r="N780" s="42"/>
      <x:c r="O780" s="44"/>
      <x:c r="P780" s="44"/>
    </x:row>
    <x:row r="781">
      <x:c r="J781" s="40"/>
      <x:c r="K781" s="40"/>
      <x:c r="N781" s="42"/>
      <x:c r="O781" s="44"/>
      <x:c r="P781" s="44"/>
    </x:row>
    <x:row r="782">
      <x:c r="J782" s="40"/>
      <x:c r="K782" s="40"/>
      <x:c r="N782" s="42"/>
      <x:c r="O782" s="44"/>
      <x:c r="P782" s="44"/>
    </x:row>
    <x:row r="783">
      <x:c r="J783" s="40"/>
      <x:c r="K783" s="40"/>
      <x:c r="N783" s="42"/>
      <x:c r="O783" s="44"/>
      <x:c r="P783" s="44"/>
    </x:row>
    <x:row r="784">
      <x:c r="J784" s="40"/>
      <x:c r="K784" s="40"/>
      <x:c r="N784" s="42"/>
      <x:c r="O784" s="44"/>
      <x:c r="P784" s="44"/>
    </x:row>
    <x:row r="785">
      <x:c r="J785" s="40"/>
      <x:c r="K785" s="40"/>
      <x:c r="N785" s="42"/>
      <x:c r="O785" s="44"/>
      <x:c r="P785" s="44"/>
    </x:row>
    <x:row r="786">
      <x:c r="J786" s="40"/>
      <x:c r="K786" s="40"/>
      <x:c r="N786" s="42"/>
      <x:c r="O786" s="44"/>
      <x:c r="P786" s="44"/>
    </x:row>
    <x:row r="787">
      <x:c r="J787" s="40"/>
      <x:c r="K787" s="40"/>
      <x:c r="N787" s="42"/>
      <x:c r="O787" s="44"/>
      <x:c r="P787" s="44"/>
    </x:row>
    <x:row r="788">
      <x:c r="J788" s="40"/>
      <x:c r="K788" s="40"/>
      <x:c r="N788" s="42"/>
      <x:c r="O788" s="44"/>
      <x:c r="P788" s="44"/>
    </x:row>
    <x:row r="789">
      <x:c r="J789" s="40"/>
      <x:c r="K789" s="40"/>
      <x:c r="N789" s="42"/>
      <x:c r="O789" s="44"/>
      <x:c r="P789" s="44"/>
    </x:row>
    <x:row r="790">
      <x:c r="J790" s="40"/>
      <x:c r="K790" s="40"/>
      <x:c r="N790" s="42"/>
      <x:c r="O790" s="44"/>
      <x:c r="P790" s="44"/>
    </x:row>
    <x:row r="791">
      <x:c r="J791" s="40"/>
      <x:c r="K791" s="40"/>
      <x:c r="N791" s="42"/>
      <x:c r="O791" s="44"/>
      <x:c r="P791" s="44"/>
    </x:row>
    <x:row r="792">
      <x:c r="J792" s="40"/>
      <x:c r="K792" s="40"/>
      <x:c r="N792" s="42"/>
      <x:c r="O792" s="44"/>
      <x:c r="P792" s="44"/>
    </x:row>
    <x:row r="793">
      <x:c r="J793" s="40"/>
      <x:c r="K793" s="40"/>
      <x:c r="N793" s="42"/>
      <x:c r="O793" s="44"/>
      <x:c r="P793" s="44"/>
    </x:row>
    <x:row r="794">
      <x:c r="J794" s="40"/>
      <x:c r="K794" s="40"/>
      <x:c r="N794" s="42"/>
      <x:c r="O794" s="44"/>
      <x:c r="P794" s="44"/>
    </x:row>
    <x:row r="795">
      <x:c r="J795" s="40"/>
      <x:c r="K795" s="40"/>
      <x:c r="N795" s="42"/>
      <x:c r="O795" s="44"/>
      <x:c r="P795" s="44"/>
    </x:row>
    <x:row r="796">
      <x:c r="J796" s="40"/>
      <x:c r="K796" s="40"/>
      <x:c r="N796" s="42"/>
      <x:c r="O796" s="44"/>
      <x:c r="P796" s="44"/>
    </x:row>
    <x:row r="797">
      <x:c r="J797" s="40"/>
      <x:c r="K797" s="40"/>
      <x:c r="N797" s="42"/>
      <x:c r="O797" s="44"/>
      <x:c r="P797" s="44"/>
    </x:row>
    <x:row r="798">
      <x:c r="J798" s="40"/>
      <x:c r="K798" s="40"/>
      <x:c r="N798" s="42"/>
      <x:c r="O798" s="44"/>
      <x:c r="P798" s="44"/>
    </x:row>
    <x:row r="799">
      <x:c r="J799" s="40"/>
      <x:c r="K799" s="40"/>
      <x:c r="N799" s="42"/>
      <x:c r="O799" s="44"/>
      <x:c r="P799" s="44"/>
    </x:row>
    <x:row r="800">
      <x:c r="J800" s="40"/>
      <x:c r="K800" s="40"/>
      <x:c r="N800" s="42"/>
      <x:c r="O800" s="44"/>
      <x:c r="P800" s="44"/>
    </x:row>
    <x:row r="801">
      <x:c r="J801" s="40"/>
      <x:c r="K801" s="40"/>
      <x:c r="N801" s="42"/>
      <x:c r="O801" s="44"/>
      <x:c r="P801" s="44"/>
    </x:row>
    <x:row r="802">
      <x:c r="J802" s="40"/>
      <x:c r="K802" s="40"/>
      <x:c r="N802" s="42"/>
      <x:c r="O802" s="44"/>
      <x:c r="P802" s="44"/>
    </x:row>
    <x:row r="803">
      <x:c r="J803" s="40"/>
      <x:c r="K803" s="40"/>
      <x:c r="N803" s="42"/>
      <x:c r="O803" s="44"/>
      <x:c r="P803" s="44"/>
    </x:row>
    <x:row r="804">
      <x:c r="J804" s="40"/>
      <x:c r="K804" s="40"/>
      <x:c r="N804" s="42"/>
      <x:c r="O804" s="44"/>
      <x:c r="P804" s="44"/>
    </x:row>
    <x:row r="805">
      <x:c r="J805" s="40"/>
      <x:c r="K805" s="40"/>
      <x:c r="N805" s="42"/>
      <x:c r="O805" s="44"/>
      <x:c r="P805" s="44"/>
    </x:row>
    <x:row r="806">
      <x:c r="J806" s="40"/>
      <x:c r="K806" s="40"/>
      <x:c r="N806" s="42"/>
      <x:c r="O806" s="44"/>
      <x:c r="P806" s="44"/>
    </x:row>
    <x:row r="807">
      <x:c r="J807" s="40"/>
      <x:c r="K807" s="40"/>
      <x:c r="N807" s="42"/>
      <x:c r="O807" s="44"/>
      <x:c r="P807" s="44"/>
    </x:row>
    <x:row r="808">
      <x:c r="J808" s="40"/>
      <x:c r="K808" s="40"/>
      <x:c r="N808" s="42"/>
      <x:c r="O808" s="44"/>
      <x:c r="P808" s="44"/>
    </x:row>
    <x:row r="809">
      <x:c r="J809" s="40"/>
      <x:c r="K809" s="40"/>
      <x:c r="N809" s="42"/>
      <x:c r="O809" s="44"/>
      <x:c r="P809" s="44"/>
    </x:row>
    <x:row r="810">
      <x:c r="J810" s="40"/>
      <x:c r="K810" s="40"/>
      <x:c r="N810" s="42"/>
      <x:c r="O810" s="44"/>
      <x:c r="P810" s="44"/>
    </x:row>
    <x:row r="811">
      <x:c r="J811" s="40"/>
      <x:c r="K811" s="40"/>
      <x:c r="N811" s="42"/>
      <x:c r="O811" s="44"/>
      <x:c r="P811" s="44"/>
    </x:row>
    <x:row r="812">
      <x:c r="J812" s="40"/>
      <x:c r="K812" s="40"/>
      <x:c r="N812" s="42"/>
      <x:c r="O812" s="44"/>
      <x:c r="P812" s="44"/>
    </x:row>
    <x:row r="813">
      <x:c r="J813" s="40"/>
      <x:c r="K813" s="40"/>
      <x:c r="N813" s="42"/>
      <x:c r="O813" s="44"/>
      <x:c r="P813" s="44"/>
    </x:row>
    <x:row r="814">
      <x:c r="J814" s="40"/>
      <x:c r="K814" s="40"/>
      <x:c r="N814" s="42"/>
      <x:c r="O814" s="44"/>
      <x:c r="P814" s="44"/>
    </x:row>
    <x:row r="815">
      <x:c r="J815" s="40"/>
      <x:c r="K815" s="40"/>
      <x:c r="N815" s="42"/>
      <x:c r="O815" s="44"/>
      <x:c r="P815" s="44"/>
    </x:row>
    <x:row r="816">
      <x:c r="J816" s="40"/>
      <x:c r="K816" s="40"/>
      <x:c r="N816" s="42"/>
      <x:c r="O816" s="44"/>
      <x:c r="P816" s="44"/>
    </x:row>
    <x:row r="817">
      <x:c r="J817" s="40"/>
      <x:c r="K817" s="40"/>
      <x:c r="N817" s="42"/>
      <x:c r="O817" s="44"/>
      <x:c r="P817" s="44"/>
    </x:row>
    <x:row r="818">
      <x:c r="J818" s="40"/>
      <x:c r="K818" s="40"/>
      <x:c r="N818" s="42"/>
      <x:c r="O818" s="44"/>
      <x:c r="P818" s="44"/>
    </x:row>
    <x:row r="819">
      <x:c r="J819" s="40"/>
      <x:c r="K819" s="40"/>
      <x:c r="N819" s="42"/>
      <x:c r="O819" s="44"/>
      <x:c r="P819" s="44"/>
    </x:row>
    <x:row r="820">
      <x:c r="J820" s="40"/>
      <x:c r="K820" s="40"/>
      <x:c r="N820" s="42"/>
      <x:c r="O820" s="44"/>
      <x:c r="P820" s="44"/>
    </x:row>
    <x:row r="821">
      <x:c r="J821" s="40"/>
      <x:c r="K821" s="40"/>
      <x:c r="N821" s="42"/>
      <x:c r="O821" s="44"/>
      <x:c r="P821" s="44"/>
    </x:row>
    <x:row r="822">
      <x:c r="J822" s="40"/>
      <x:c r="K822" s="40"/>
      <x:c r="N822" s="42"/>
      <x:c r="O822" s="44"/>
      <x:c r="P822" s="44"/>
    </x:row>
    <x:row r="823">
      <x:c r="J823" s="40"/>
      <x:c r="K823" s="40"/>
      <x:c r="N823" s="42"/>
      <x:c r="O823" s="44"/>
      <x:c r="P823" s="44"/>
    </x:row>
    <x:row r="824">
      <x:c r="J824" s="40"/>
      <x:c r="K824" s="40"/>
      <x:c r="N824" s="42"/>
      <x:c r="O824" s="44"/>
      <x:c r="P824" s="44"/>
    </x:row>
    <x:row r="825">
      <x:c r="J825" s="40"/>
      <x:c r="K825" s="40"/>
      <x:c r="N825" s="42"/>
      <x:c r="O825" s="44"/>
      <x:c r="P825" s="44"/>
    </x:row>
    <x:row r="826">
      <x:c r="J826" s="40"/>
      <x:c r="K826" s="40"/>
      <x:c r="N826" s="42"/>
      <x:c r="O826" s="44"/>
      <x:c r="P826" s="44"/>
    </x:row>
    <x:row r="827">
      <x:c r="J827" s="40"/>
      <x:c r="K827" s="40"/>
      <x:c r="N827" s="42"/>
      <x:c r="O827" s="44"/>
      <x:c r="P827" s="44"/>
    </x:row>
    <x:row r="828">
      <x:c r="J828" s="40"/>
      <x:c r="K828" s="40"/>
      <x:c r="N828" s="42"/>
      <x:c r="O828" s="44"/>
      <x:c r="P828" s="44"/>
    </x:row>
    <x:row r="829">
      <x:c r="J829" s="40"/>
      <x:c r="K829" s="40"/>
      <x:c r="N829" s="42"/>
      <x:c r="O829" s="44"/>
      <x:c r="P829" s="44"/>
    </x:row>
    <x:row r="830">
      <x:c r="J830" s="40"/>
      <x:c r="K830" s="40"/>
      <x:c r="N830" s="42"/>
      <x:c r="O830" s="44"/>
      <x:c r="P830" s="44"/>
    </x:row>
    <x:row r="831">
      <x:c r="J831" s="40"/>
      <x:c r="K831" s="40"/>
      <x:c r="N831" s="42"/>
      <x:c r="O831" s="44"/>
      <x:c r="P831" s="44"/>
    </x:row>
    <x:row r="832">
      <x:c r="J832" s="40"/>
      <x:c r="K832" s="40"/>
      <x:c r="N832" s="42"/>
      <x:c r="O832" s="44"/>
      <x:c r="P832" s="44"/>
    </x:row>
    <x:row r="833">
      <x:c r="J833" s="40"/>
      <x:c r="K833" s="40"/>
      <x:c r="N833" s="42"/>
      <x:c r="O833" s="44"/>
      <x:c r="P833" s="44"/>
    </x:row>
    <x:row r="834">
      <x:c r="J834" s="40"/>
      <x:c r="K834" s="40"/>
      <x:c r="N834" s="42"/>
      <x:c r="O834" s="44"/>
      <x:c r="P834" s="44"/>
    </x:row>
    <x:row r="835">
      <x:c r="J835" s="40"/>
      <x:c r="K835" s="40"/>
      <x:c r="N835" s="42"/>
      <x:c r="O835" s="44"/>
      <x:c r="P835" s="44"/>
    </x:row>
    <x:row r="836">
      <x:c r="J836" s="40"/>
      <x:c r="K836" s="40"/>
      <x:c r="N836" s="42"/>
      <x:c r="O836" s="44"/>
      <x:c r="P836" s="44"/>
    </x:row>
    <x:row r="837">
      <x:c r="J837" s="40"/>
      <x:c r="K837" s="40"/>
      <x:c r="N837" s="42"/>
      <x:c r="O837" s="44"/>
      <x:c r="P837" s="44"/>
    </x:row>
    <x:row r="838">
      <x:c r="J838" s="40"/>
      <x:c r="K838" s="40"/>
      <x:c r="N838" s="42"/>
      <x:c r="O838" s="44"/>
      <x:c r="P838" s="44"/>
    </x:row>
    <x:row r="839">
      <x:c r="J839" s="40"/>
      <x:c r="K839" s="40"/>
      <x:c r="N839" s="42"/>
      <x:c r="O839" s="44"/>
      <x:c r="P839" s="44"/>
    </x:row>
    <x:row r="840">
      <x:c r="J840" s="40"/>
      <x:c r="K840" s="40"/>
      <x:c r="N840" s="42"/>
      <x:c r="O840" s="44"/>
      <x:c r="P840" s="44"/>
    </x:row>
    <x:row r="841">
      <x:c r="J841" s="40"/>
      <x:c r="K841" s="40"/>
      <x:c r="N841" s="42"/>
      <x:c r="O841" s="44"/>
      <x:c r="P841" s="44"/>
    </x:row>
    <x:row r="842">
      <x:c r="J842" s="40"/>
      <x:c r="K842" s="40"/>
      <x:c r="N842" s="42"/>
      <x:c r="O842" s="44"/>
      <x:c r="P842" s="44"/>
    </x:row>
    <x:row r="843">
      <x:c r="J843" s="40"/>
      <x:c r="K843" s="40"/>
      <x:c r="N843" s="42"/>
      <x:c r="O843" s="44"/>
      <x:c r="P843" s="44"/>
    </x:row>
    <x:row r="844">
      <x:c r="J844" s="40"/>
      <x:c r="K844" s="40"/>
      <x:c r="N844" s="42"/>
      <x:c r="O844" s="44"/>
      <x:c r="P844" s="44"/>
    </x:row>
    <x:row r="845">
      <x:c r="J845" s="40"/>
      <x:c r="K845" s="40"/>
      <x:c r="N845" s="42"/>
      <x:c r="O845" s="44"/>
      <x:c r="P845" s="44"/>
    </x:row>
    <x:row r="846">
      <x:c r="J846" s="40"/>
      <x:c r="K846" s="40"/>
      <x:c r="N846" s="42"/>
      <x:c r="O846" s="44"/>
      <x:c r="P846" s="44"/>
    </x:row>
    <x:row r="847">
      <x:c r="J847" s="40"/>
      <x:c r="K847" s="40"/>
      <x:c r="N847" s="42"/>
      <x:c r="O847" s="44"/>
      <x:c r="P847" s="44"/>
    </x:row>
    <x:row r="848">
      <x:c r="J848" s="40"/>
      <x:c r="K848" s="40"/>
      <x:c r="N848" s="42"/>
      <x:c r="O848" s="44"/>
      <x:c r="P848" s="44"/>
    </x:row>
    <x:row r="849">
      <x:c r="J849" s="40"/>
      <x:c r="K849" s="40"/>
      <x:c r="N849" s="42"/>
      <x:c r="O849" s="44"/>
      <x:c r="P849" s="44"/>
    </x:row>
    <x:row r="850">
      <x:c r="J850" s="40"/>
      <x:c r="K850" s="40"/>
      <x:c r="N850" s="42"/>
      <x:c r="O850" s="44"/>
      <x:c r="P850" s="44"/>
    </x:row>
    <x:row r="851">
      <x:c r="J851" s="40"/>
      <x:c r="K851" s="40"/>
      <x:c r="N851" s="42"/>
      <x:c r="O851" s="44"/>
      <x:c r="P851" s="44"/>
    </x:row>
    <x:row r="852">
      <x:c r="J852" s="40"/>
      <x:c r="K852" s="40"/>
      <x:c r="N852" s="42"/>
      <x:c r="O852" s="44"/>
      <x:c r="P852" s="44"/>
    </x:row>
    <x:row r="853">
      <x:c r="J853" s="40"/>
      <x:c r="K853" s="40"/>
      <x:c r="N853" s="42"/>
      <x:c r="O853" s="44"/>
      <x:c r="P853" s="44"/>
    </x:row>
    <x:row r="854">
      <x:c r="J854" s="40"/>
      <x:c r="K854" s="40"/>
      <x:c r="N854" s="42"/>
      <x:c r="O854" s="44"/>
      <x:c r="P854" s="44"/>
    </x:row>
    <x:row r="855">
      <x:c r="J855" s="40"/>
      <x:c r="K855" s="40"/>
      <x:c r="N855" s="42"/>
      <x:c r="O855" s="44"/>
      <x:c r="P855" s="44"/>
    </x:row>
    <x:row r="856">
      <x:c r="J856" s="40"/>
      <x:c r="K856" s="40"/>
      <x:c r="N856" s="42"/>
      <x:c r="O856" s="44"/>
      <x:c r="P856" s="44"/>
    </x:row>
    <x:row r="857">
      <x:c r="J857" s="40"/>
      <x:c r="K857" s="40"/>
      <x:c r="N857" s="42"/>
      <x:c r="O857" s="44"/>
      <x:c r="P857" s="44"/>
    </x:row>
    <x:row r="858">
      <x:c r="J858" s="40"/>
      <x:c r="K858" s="40"/>
      <x:c r="N858" s="42"/>
      <x:c r="O858" s="44"/>
      <x:c r="P858" s="44"/>
    </x:row>
    <x:row r="859">
      <x:c r="J859" s="40"/>
      <x:c r="K859" s="40"/>
      <x:c r="N859" s="42"/>
      <x:c r="O859" s="44"/>
      <x:c r="P859" s="44"/>
    </x:row>
    <x:row r="860">
      <x:c r="J860" s="40"/>
      <x:c r="K860" s="40"/>
      <x:c r="N860" s="42"/>
      <x:c r="O860" s="44"/>
      <x:c r="P860" s="44"/>
    </x:row>
    <x:row r="861">
      <x:c r="J861" s="40"/>
      <x:c r="K861" s="40"/>
      <x:c r="N861" s="42"/>
      <x:c r="O861" s="44"/>
      <x:c r="P861" s="44"/>
    </x:row>
    <x:row r="862">
      <x:c r="J862" s="40"/>
      <x:c r="K862" s="40"/>
      <x:c r="N862" s="42"/>
      <x:c r="O862" s="44"/>
      <x:c r="P862" s="44"/>
    </x:row>
    <x:row r="863">
      <x:c r="J863" s="40"/>
      <x:c r="K863" s="40"/>
      <x:c r="N863" s="42"/>
      <x:c r="O863" s="44"/>
      <x:c r="P863" s="44"/>
    </x:row>
    <x:row r="864">
      <x:c r="J864" s="40"/>
      <x:c r="K864" s="40"/>
      <x:c r="N864" s="42"/>
      <x:c r="O864" s="44"/>
      <x:c r="P864" s="44"/>
    </x:row>
    <x:row r="865">
      <x:c r="J865" s="40"/>
      <x:c r="K865" s="40"/>
      <x:c r="N865" s="42"/>
      <x:c r="O865" s="44"/>
      <x:c r="P865" s="44"/>
    </x:row>
    <x:row r="866">
      <x:c r="J866" s="40"/>
      <x:c r="K866" s="40"/>
      <x:c r="N866" s="42"/>
      <x:c r="O866" s="44"/>
      <x:c r="P866" s="44"/>
    </x:row>
    <x:row r="867">
      <x:c r="J867" s="40"/>
      <x:c r="K867" s="40"/>
      <x:c r="N867" s="42"/>
      <x:c r="O867" s="44"/>
      <x:c r="P867" s="44"/>
    </x:row>
    <x:row r="868">
      <x:c r="J868" s="40"/>
      <x:c r="K868" s="40"/>
      <x:c r="N868" s="42"/>
      <x:c r="O868" s="44"/>
      <x:c r="P868" s="44"/>
    </x:row>
    <x:row r="869">
      <x:c r="J869" s="40"/>
      <x:c r="K869" s="40"/>
      <x:c r="N869" s="42"/>
      <x:c r="O869" s="44"/>
      <x:c r="P869" s="44"/>
    </x:row>
    <x:row r="870">
      <x:c r="J870" s="40"/>
      <x:c r="K870" s="40"/>
      <x:c r="N870" s="42"/>
      <x:c r="O870" s="44"/>
      <x:c r="P870" s="44"/>
    </x:row>
    <x:row r="871">
      <x:c r="J871" s="40"/>
      <x:c r="K871" s="40"/>
      <x:c r="N871" s="42"/>
      <x:c r="O871" s="44"/>
      <x:c r="P871" s="44"/>
    </x:row>
    <x:row r="872">
      <x:c r="J872" s="40"/>
      <x:c r="K872" s="40"/>
      <x:c r="N872" s="42"/>
      <x:c r="O872" s="44"/>
      <x:c r="P872" s="44"/>
    </x:row>
    <x:row r="873">
      <x:c r="J873" s="40"/>
      <x:c r="K873" s="40"/>
      <x:c r="N873" s="42"/>
      <x:c r="O873" s="44"/>
      <x:c r="P873" s="44"/>
    </x:row>
    <x:row r="874">
      <x:c r="J874" s="40"/>
      <x:c r="K874" s="40"/>
      <x:c r="N874" s="42"/>
      <x:c r="O874" s="44"/>
      <x:c r="P874" s="44"/>
    </x:row>
    <x:row r="875">
      <x:c r="J875" s="40"/>
      <x:c r="K875" s="40"/>
      <x:c r="N875" s="42"/>
      <x:c r="O875" s="44"/>
      <x:c r="P875" s="44"/>
    </x:row>
    <x:row r="876">
      <x:c r="J876" s="40"/>
      <x:c r="K876" s="40"/>
      <x:c r="N876" s="42"/>
      <x:c r="O876" s="44"/>
      <x:c r="P876" s="44"/>
    </x:row>
    <x:row r="877">
      <x:c r="J877" s="40"/>
      <x:c r="K877" s="40"/>
      <x:c r="N877" s="42"/>
      <x:c r="O877" s="44"/>
      <x:c r="P877" s="44"/>
    </x:row>
    <x:row r="878">
      <x:c r="J878" s="40"/>
      <x:c r="K878" s="40"/>
      <x:c r="N878" s="42"/>
      <x:c r="O878" s="44"/>
      <x:c r="P878" s="44"/>
    </x:row>
    <x:row r="879">
      <x:c r="J879" s="40"/>
      <x:c r="K879" s="40"/>
      <x:c r="N879" s="42"/>
      <x:c r="O879" s="44"/>
      <x:c r="P879" s="44"/>
    </x:row>
    <x:row r="880">
      <x:c r="J880" s="40"/>
      <x:c r="K880" s="40"/>
      <x:c r="N880" s="42"/>
      <x:c r="O880" s="44"/>
      <x:c r="P880" s="44"/>
    </x:row>
    <x:row r="881">
      <x:c r="J881" s="40"/>
      <x:c r="K881" s="40"/>
      <x:c r="N881" s="42"/>
      <x:c r="O881" s="44"/>
      <x:c r="P881" s="44"/>
    </x:row>
    <x:row r="882">
      <x:c r="J882" s="40"/>
      <x:c r="K882" s="40"/>
      <x:c r="N882" s="42"/>
      <x:c r="O882" s="44"/>
      <x:c r="P882" s="44"/>
    </x:row>
    <x:row r="883">
      <x:c r="J883" s="40"/>
      <x:c r="K883" s="40"/>
      <x:c r="N883" s="42"/>
      <x:c r="O883" s="44"/>
      <x:c r="P883" s="44"/>
    </x:row>
    <x:row r="884">
      <x:c r="J884" s="40"/>
      <x:c r="K884" s="40"/>
      <x:c r="N884" s="42"/>
      <x:c r="O884" s="44"/>
      <x:c r="P884" s="44"/>
    </x:row>
    <x:row r="885">
      <x:c r="J885" s="40"/>
      <x:c r="K885" s="40"/>
      <x:c r="N885" s="42"/>
      <x:c r="O885" s="44"/>
      <x:c r="P885" s="44"/>
    </x:row>
    <x:row r="886">
      <x:c r="J886" s="40"/>
      <x:c r="K886" s="40"/>
      <x:c r="N886" s="42"/>
      <x:c r="O886" s="44"/>
      <x:c r="P886" s="44"/>
    </x:row>
    <x:row r="887">
      <x:c r="J887" s="40"/>
      <x:c r="K887" s="40"/>
      <x:c r="N887" s="42"/>
      <x:c r="O887" s="44"/>
      <x:c r="P887" s="44"/>
    </x:row>
    <x:row r="888">
      <x:c r="J888" s="40"/>
      <x:c r="K888" s="40"/>
      <x:c r="N888" s="42"/>
      <x:c r="O888" s="44"/>
      <x:c r="P888" s="44"/>
    </x:row>
    <x:row r="889">
      <x:c r="J889" s="40"/>
      <x:c r="K889" s="40"/>
      <x:c r="N889" s="42"/>
      <x:c r="O889" s="44"/>
      <x:c r="P889" s="44"/>
    </x:row>
    <x:row r="890">
      <x:c r="J890" s="40"/>
      <x:c r="K890" s="40"/>
      <x:c r="N890" s="42"/>
      <x:c r="O890" s="44"/>
      <x:c r="P890" s="44"/>
    </x:row>
    <x:row r="891">
      <x:c r="J891" s="40"/>
      <x:c r="K891" s="40"/>
      <x:c r="N891" s="42"/>
      <x:c r="O891" s="44"/>
      <x:c r="P891" s="44"/>
    </x:row>
    <x:row r="892">
      <x:c r="J892" s="40"/>
      <x:c r="K892" s="40"/>
      <x:c r="N892" s="42"/>
      <x:c r="O892" s="44"/>
      <x:c r="P892" s="44"/>
    </x:row>
    <x:row r="893">
      <x:c r="J893" s="40"/>
      <x:c r="K893" s="40"/>
      <x:c r="N893" s="42"/>
      <x:c r="O893" s="44"/>
      <x:c r="P893" s="44"/>
    </x:row>
    <x:row r="894">
      <x:c r="J894" s="40"/>
      <x:c r="K894" s="40"/>
      <x:c r="N894" s="42"/>
      <x:c r="O894" s="44"/>
      <x:c r="P894" s="44"/>
    </x:row>
    <x:row r="895">
      <x:c r="J895" s="40"/>
      <x:c r="K895" s="40"/>
      <x:c r="N895" s="42"/>
      <x:c r="O895" s="44"/>
      <x:c r="P895" s="44"/>
    </x:row>
    <x:row r="896">
      <x:c r="J896" s="40"/>
      <x:c r="K896" s="40"/>
      <x:c r="N896" s="42"/>
      <x:c r="O896" s="44"/>
      <x:c r="P896" s="44"/>
    </x:row>
    <x:row r="897">
      <x:c r="J897" s="40"/>
      <x:c r="K897" s="40"/>
      <x:c r="N897" s="42"/>
      <x:c r="O897" s="44"/>
      <x:c r="P897" s="44"/>
    </x:row>
    <x:row r="898">
      <x:c r="J898" s="40"/>
      <x:c r="K898" s="40"/>
      <x:c r="N898" s="42"/>
      <x:c r="O898" s="44"/>
      <x:c r="P898" s="44"/>
    </x:row>
    <x:row r="899">
      <x:c r="J899" s="40"/>
      <x:c r="K899" s="40"/>
      <x:c r="N899" s="42"/>
      <x:c r="O899" s="44"/>
      <x:c r="P899" s="44"/>
    </x:row>
    <x:row r="900">
      <x:c r="J900" s="40"/>
      <x:c r="K900" s="40"/>
      <x:c r="N900" s="42"/>
      <x:c r="O900" s="44"/>
      <x:c r="P900" s="44"/>
    </x:row>
    <x:row r="901">
      <x:c r="J901" s="40"/>
      <x:c r="K901" s="40"/>
      <x:c r="N901" s="42"/>
      <x:c r="O901" s="44"/>
      <x:c r="P901" s="44"/>
    </x:row>
    <x:row r="902">
      <x:c r="J902" s="40"/>
      <x:c r="K902" s="40"/>
      <x:c r="N902" s="42"/>
      <x:c r="O902" s="44"/>
      <x:c r="P902" s="44"/>
    </x:row>
    <x:row r="903">
      <x:c r="J903" s="40"/>
      <x:c r="K903" s="40"/>
      <x:c r="N903" s="42"/>
      <x:c r="O903" s="44"/>
      <x:c r="P903" s="44"/>
    </x:row>
    <x:row r="904">
      <x:c r="J904" s="40"/>
      <x:c r="K904" s="40"/>
      <x:c r="N904" s="42"/>
      <x:c r="O904" s="44"/>
      <x:c r="P904" s="44"/>
    </x:row>
    <x:row r="905">
      <x:c r="J905" s="40"/>
      <x:c r="K905" s="40"/>
      <x:c r="N905" s="42"/>
      <x:c r="O905" s="44"/>
      <x:c r="P905" s="44"/>
    </x:row>
    <x:row r="906">
      <x:c r="J906" s="40"/>
      <x:c r="K906" s="40"/>
      <x:c r="N906" s="42"/>
      <x:c r="O906" s="44"/>
      <x:c r="P906" s="44"/>
    </x:row>
    <x:row r="907">
      <x:c r="J907" s="40"/>
      <x:c r="K907" s="40"/>
      <x:c r="N907" s="42"/>
      <x:c r="O907" s="44"/>
      <x:c r="P907" s="44"/>
    </x:row>
    <x:row r="908">
      <x:c r="J908" s="40"/>
      <x:c r="K908" s="40"/>
      <x:c r="N908" s="42"/>
      <x:c r="O908" s="44"/>
      <x:c r="P908" s="44"/>
    </x:row>
    <x:row r="909">
      <x:c r="J909" s="40"/>
      <x:c r="K909" s="40"/>
      <x:c r="N909" s="42"/>
      <x:c r="O909" s="44"/>
      <x:c r="P909" s="44"/>
    </x:row>
    <x:row r="910">
      <x:c r="J910" s="40"/>
      <x:c r="K910" s="40"/>
      <x:c r="N910" s="42"/>
      <x:c r="O910" s="44"/>
      <x:c r="P910" s="44"/>
    </x:row>
    <x:row r="911">
      <x:c r="J911" s="40"/>
      <x:c r="K911" s="40"/>
      <x:c r="N911" s="42"/>
      <x:c r="O911" s="44"/>
      <x:c r="P911" s="44"/>
    </x:row>
    <x:row r="912">
      <x:c r="J912" s="40"/>
      <x:c r="K912" s="40"/>
      <x:c r="N912" s="42"/>
      <x:c r="O912" s="44"/>
      <x:c r="P912" s="44"/>
    </x:row>
    <x:row r="913">
      <x:c r="J913" s="40"/>
      <x:c r="K913" s="40"/>
      <x:c r="N913" s="42"/>
      <x:c r="O913" s="44"/>
      <x:c r="P913" s="44"/>
    </x:row>
    <x:row r="914">
      <x:c r="J914" s="40"/>
      <x:c r="K914" s="40"/>
      <x:c r="N914" s="42"/>
      <x:c r="O914" s="44"/>
      <x:c r="P914" s="44"/>
    </x:row>
    <x:row r="915">
      <x:c r="J915" s="40"/>
      <x:c r="K915" s="40"/>
      <x:c r="N915" s="42"/>
      <x:c r="O915" s="44"/>
      <x:c r="P915" s="44"/>
    </x:row>
    <x:row r="916">
      <x:c r="J916" s="40"/>
      <x:c r="K916" s="40"/>
      <x:c r="N916" s="42"/>
      <x:c r="O916" s="44"/>
      <x:c r="P916" s="44"/>
    </x:row>
    <x:row r="917">
      <x:c r="J917" s="40"/>
      <x:c r="K917" s="40"/>
      <x:c r="N917" s="42"/>
      <x:c r="O917" s="44"/>
      <x:c r="P917" s="44"/>
    </x:row>
    <x:row r="918">
      <x:c r="J918" s="40"/>
      <x:c r="K918" s="40"/>
      <x:c r="N918" s="42"/>
      <x:c r="O918" s="44"/>
      <x:c r="P918" s="44"/>
    </x:row>
    <x:row r="919">
      <x:c r="J919" s="40"/>
      <x:c r="K919" s="40"/>
      <x:c r="N919" s="42"/>
      <x:c r="O919" s="44"/>
      <x:c r="P919" s="44"/>
    </x:row>
    <x:row r="920">
      <x:c r="J920" s="40"/>
      <x:c r="K920" s="40"/>
      <x:c r="N920" s="42"/>
      <x:c r="O920" s="44"/>
      <x:c r="P920" s="44"/>
    </x:row>
    <x:row r="921">
      <x:c r="J921" s="40"/>
      <x:c r="K921" s="40"/>
      <x:c r="N921" s="42"/>
      <x:c r="O921" s="44"/>
      <x:c r="P921" s="44"/>
    </x:row>
    <x:row r="922">
      <x:c r="J922" s="40"/>
      <x:c r="K922" s="40"/>
      <x:c r="N922" s="42"/>
      <x:c r="O922" s="44"/>
      <x:c r="P922" s="44"/>
    </x:row>
    <x:row r="923">
      <x:c r="J923" s="40"/>
      <x:c r="K923" s="40"/>
      <x:c r="N923" s="42"/>
      <x:c r="O923" s="44"/>
      <x:c r="P923" s="44"/>
    </x:row>
    <x:row r="924">
      <x:c r="J924" s="40"/>
      <x:c r="K924" s="40"/>
      <x:c r="N924" s="42"/>
      <x:c r="O924" s="44"/>
      <x:c r="P924" s="44"/>
    </x:row>
    <x:row r="925">
      <x:c r="J925" s="40"/>
      <x:c r="K925" s="40"/>
      <x:c r="N925" s="42"/>
      <x:c r="O925" s="44"/>
      <x:c r="P925" s="44"/>
    </x:row>
    <x:row r="926">
      <x:c r="J926" s="40"/>
      <x:c r="K926" s="40"/>
      <x:c r="N926" s="42"/>
      <x:c r="O926" s="44"/>
      <x:c r="P926" s="44"/>
    </x:row>
    <x:row r="927">
      <x:c r="J927" s="40"/>
      <x:c r="K927" s="40"/>
      <x:c r="N927" s="42"/>
      <x:c r="O927" s="44"/>
      <x:c r="P927" s="44"/>
    </x:row>
    <x:row r="928">
      <x:c r="J928" s="40"/>
      <x:c r="K928" s="40"/>
      <x:c r="N928" s="42"/>
      <x:c r="O928" s="44"/>
      <x:c r="P928" s="44"/>
    </x:row>
    <x:row r="929">
      <x:c r="J929" s="40"/>
      <x:c r="K929" s="40"/>
      <x:c r="N929" s="42"/>
      <x:c r="O929" s="44"/>
      <x:c r="P929" s="44"/>
    </x:row>
    <x:row r="930">
      <x:c r="J930" s="40"/>
      <x:c r="K930" s="40"/>
      <x:c r="N930" s="42"/>
      <x:c r="O930" s="44"/>
      <x:c r="P930" s="44"/>
    </x:row>
    <x:row r="931">
      <x:c r="J931" s="40"/>
      <x:c r="K931" s="40"/>
      <x:c r="N931" s="42"/>
      <x:c r="O931" s="44"/>
      <x:c r="P931" s="44"/>
    </x:row>
    <x:row r="932">
      <x:c r="J932" s="40"/>
      <x:c r="K932" s="40"/>
      <x:c r="N932" s="42"/>
      <x:c r="O932" s="44"/>
      <x:c r="P932" s="44"/>
    </x:row>
    <x:row r="933">
      <x:c r="J933" s="40"/>
      <x:c r="K933" s="40"/>
      <x:c r="N933" s="42"/>
      <x:c r="O933" s="44"/>
      <x:c r="P933" s="44"/>
    </x:row>
    <x:row r="934">
      <x:c r="J934" s="40"/>
      <x:c r="K934" s="40"/>
      <x:c r="N934" s="42"/>
      <x:c r="O934" s="44"/>
      <x:c r="P934" s="44"/>
    </x:row>
    <x:row r="935">
      <x:c r="J935" s="40"/>
      <x:c r="K935" s="40"/>
      <x:c r="N935" s="42"/>
      <x:c r="O935" s="44"/>
      <x:c r="P935" s="44"/>
    </x:row>
    <x:row r="936">
      <x:c r="J936" s="40"/>
      <x:c r="K936" s="40"/>
      <x:c r="N936" s="42"/>
      <x:c r="O936" s="44"/>
      <x:c r="P936" s="44"/>
    </x:row>
    <x:row r="937">
      <x:c r="J937" s="40"/>
      <x:c r="K937" s="40"/>
      <x:c r="N937" s="42"/>
      <x:c r="O937" s="44"/>
      <x:c r="P937" s="44"/>
    </x:row>
    <x:row r="938">
      <x:c r="J938" s="40"/>
      <x:c r="K938" s="40"/>
      <x:c r="N938" s="42"/>
      <x:c r="O938" s="44"/>
      <x:c r="P938" s="44"/>
    </x:row>
    <x:row r="939">
      <x:c r="J939" s="40"/>
      <x:c r="K939" s="40"/>
      <x:c r="N939" s="42"/>
      <x:c r="O939" s="44"/>
      <x:c r="P939" s="44"/>
    </x:row>
    <x:row r="940">
      <x:c r="J940" s="40"/>
      <x:c r="K940" s="40"/>
      <x:c r="N940" s="42"/>
      <x:c r="O940" s="44"/>
      <x:c r="P940" s="44"/>
    </x:row>
    <x:row r="941">
      <x:c r="J941" s="40"/>
      <x:c r="K941" s="40"/>
      <x:c r="N941" s="42"/>
      <x:c r="O941" s="44"/>
      <x:c r="P941" s="44"/>
    </x:row>
    <x:row r="942">
      <x:c r="J942" s="40"/>
      <x:c r="K942" s="40"/>
      <x:c r="N942" s="42"/>
      <x:c r="O942" s="44"/>
      <x:c r="P942" s="44"/>
    </x:row>
    <x:row r="943">
      <x:c r="J943" s="40"/>
      <x:c r="K943" s="40"/>
      <x:c r="N943" s="42"/>
      <x:c r="O943" s="44"/>
      <x:c r="P943" s="44"/>
    </x:row>
    <x:row r="944">
      <x:c r="J944" s="40"/>
      <x:c r="K944" s="40"/>
      <x:c r="N944" s="42"/>
      <x:c r="O944" s="44"/>
      <x:c r="P944" s="44"/>
    </x:row>
    <x:row r="945">
      <x:c r="J945" s="40"/>
      <x:c r="K945" s="40"/>
      <x:c r="N945" s="42"/>
      <x:c r="O945" s="44"/>
      <x:c r="P945" s="44"/>
    </x:row>
    <x:row r="946">
      <x:c r="J946" s="40"/>
      <x:c r="K946" s="40"/>
      <x:c r="N946" s="42"/>
      <x:c r="O946" s="44"/>
      <x:c r="P946" s="44"/>
    </x:row>
    <x:row r="947">
      <x:c r="J947" s="40"/>
      <x:c r="K947" s="40"/>
      <x:c r="N947" s="42"/>
      <x:c r="O947" s="44"/>
      <x:c r="P947" s="44"/>
    </x:row>
    <x:row r="948">
      <x:c r="J948" s="40"/>
      <x:c r="K948" s="40"/>
      <x:c r="N948" s="42"/>
      <x:c r="O948" s="44"/>
      <x:c r="P948" s="44"/>
    </x:row>
    <x:row r="949">
      <x:c r="J949" s="40"/>
      <x:c r="K949" s="40"/>
      <x:c r="N949" s="42"/>
      <x:c r="O949" s="44"/>
      <x:c r="P949" s="44"/>
    </x:row>
    <x:row r="950">
      <x:c r="J950" s="40"/>
      <x:c r="K950" s="40"/>
      <x:c r="N950" s="42"/>
      <x:c r="O950" s="44"/>
      <x:c r="P950" s="44"/>
    </x:row>
    <x:row r="951">
      <x:c r="J951" s="40"/>
      <x:c r="K951" s="40"/>
      <x:c r="N951" s="42"/>
      <x:c r="O951" s="44"/>
      <x:c r="P951" s="44"/>
    </x:row>
    <x:row r="952">
      <x:c r="J952" s="40"/>
      <x:c r="K952" s="40"/>
      <x:c r="N952" s="42"/>
      <x:c r="O952" s="44"/>
      <x:c r="P952" s="44"/>
    </x:row>
    <x:row r="953">
      <x:c r="J953" s="40"/>
      <x:c r="K953" s="40"/>
      <x:c r="N953" s="42"/>
      <x:c r="O953" s="44"/>
      <x:c r="P953" s="44"/>
    </x:row>
    <x:row r="954">
      <x:c r="J954" s="40"/>
      <x:c r="K954" s="40"/>
      <x:c r="N954" s="42"/>
      <x:c r="O954" s="44"/>
      <x:c r="P954" s="44"/>
    </x:row>
    <x:row r="955">
      <x:c r="J955" s="40"/>
      <x:c r="K955" s="40"/>
      <x:c r="N955" s="42"/>
      <x:c r="O955" s="44"/>
      <x:c r="P955" s="44"/>
    </x:row>
    <x:row r="956">
      <x:c r="J956" s="40"/>
      <x:c r="K956" s="40"/>
      <x:c r="N956" s="42"/>
      <x:c r="O956" s="44"/>
      <x:c r="P956" s="44"/>
    </x:row>
    <x:row r="957">
      <x:c r="J957" s="40"/>
      <x:c r="K957" s="40"/>
      <x:c r="N957" s="42"/>
      <x:c r="O957" s="44"/>
      <x:c r="P957" s="44"/>
    </x:row>
    <x:row r="958">
      <x:c r="J958" s="40"/>
      <x:c r="K958" s="40"/>
      <x:c r="N958" s="42"/>
      <x:c r="O958" s="44"/>
      <x:c r="P958" s="44"/>
    </x:row>
    <x:row r="959">
      <x:c r="J959" s="40"/>
      <x:c r="K959" s="40"/>
      <x:c r="N959" s="42"/>
      <x:c r="O959" s="44"/>
      <x:c r="P959" s="44"/>
    </x:row>
    <x:row r="960">
      <x:c r="J960" s="40"/>
      <x:c r="K960" s="40"/>
      <x:c r="N960" s="42"/>
      <x:c r="O960" s="44"/>
      <x:c r="P960" s="44"/>
    </x:row>
    <x:row r="961">
      <x:c r="J961" s="40"/>
      <x:c r="K961" s="40"/>
      <x:c r="N961" s="42"/>
      <x:c r="O961" s="44"/>
      <x:c r="P961" s="44"/>
    </x:row>
    <x:row r="962">
      <x:c r="J962" s="40"/>
      <x:c r="K962" s="40"/>
      <x:c r="N962" s="42"/>
      <x:c r="O962" s="44"/>
      <x:c r="P962" s="44"/>
    </x:row>
    <x:row r="963">
      <x:c r="J963" s="40"/>
      <x:c r="K963" s="40"/>
      <x:c r="N963" s="42"/>
      <x:c r="O963" s="44"/>
      <x:c r="P963" s="44"/>
    </x:row>
    <x:row r="964">
      <x:c r="J964" s="40"/>
      <x:c r="K964" s="40"/>
      <x:c r="N964" s="42"/>
      <x:c r="O964" s="44"/>
      <x:c r="P964" s="44"/>
    </x:row>
    <x:row r="965">
      <x:c r="J965" s="40"/>
      <x:c r="K965" s="40"/>
      <x:c r="N965" s="42"/>
      <x:c r="O965" s="44"/>
      <x:c r="P965" s="44"/>
    </x:row>
    <x:row r="966">
      <x:c r="J966" s="40"/>
      <x:c r="K966" s="40"/>
      <x:c r="N966" s="42"/>
      <x:c r="O966" s="44"/>
      <x:c r="P966" s="44"/>
    </x:row>
    <x:row r="967">
      <x:c r="J967" s="40"/>
      <x:c r="K967" s="40"/>
      <x:c r="N967" s="42"/>
      <x:c r="O967" s="44"/>
      <x:c r="P967" s="44"/>
    </x:row>
    <x:row r="968">
      <x:c r="J968" s="40"/>
      <x:c r="K968" s="40"/>
      <x:c r="N968" s="42"/>
      <x:c r="O968" s="44"/>
      <x:c r="P968" s="44"/>
    </x:row>
    <x:row r="969">
      <x:c r="J969" s="40"/>
      <x:c r="K969" s="40"/>
      <x:c r="N969" s="42"/>
      <x:c r="O969" s="44"/>
      <x:c r="P969" s="44"/>
    </x:row>
    <x:row r="970">
      <x:c r="J970" s="40"/>
      <x:c r="K970" s="40"/>
      <x:c r="N970" s="42"/>
      <x:c r="O970" s="44"/>
      <x:c r="P970" s="44"/>
    </x:row>
    <x:row r="971">
      <x:c r="J971" s="40"/>
      <x:c r="K971" s="40"/>
      <x:c r="N971" s="42"/>
      <x:c r="O971" s="44"/>
      <x:c r="P971" s="44"/>
    </x:row>
    <x:row r="972">
      <x:c r="J972" s="40"/>
      <x:c r="K972" s="40"/>
      <x:c r="N972" s="42"/>
      <x:c r="O972" s="44"/>
      <x:c r="P972" s="44"/>
    </x:row>
    <x:row r="973">
      <x:c r="J973" s="40"/>
      <x:c r="K973" s="40"/>
      <x:c r="N973" s="42"/>
      <x:c r="O973" s="44"/>
      <x:c r="P973" s="44"/>
    </x:row>
    <x:row r="974">
      <x:c r="J974" s="40"/>
      <x:c r="K974" s="40"/>
      <x:c r="N974" s="42"/>
      <x:c r="O974" s="44"/>
      <x:c r="P974" s="44"/>
    </x:row>
    <x:row r="975">
      <x:c r="J975" s="40"/>
      <x:c r="K975" s="40"/>
      <x:c r="N975" s="42"/>
      <x:c r="O975" s="44"/>
      <x:c r="P975" s="44"/>
    </x:row>
    <x:row r="976">
      <x:c r="J976" s="40"/>
      <x:c r="K976" s="40"/>
      <x:c r="N976" s="42"/>
      <x:c r="O976" s="44"/>
      <x:c r="P976" s="44"/>
    </x:row>
    <x:row r="977">
      <x:c r="J977" s="40"/>
      <x:c r="K977" s="40"/>
      <x:c r="N977" s="42"/>
      <x:c r="O977" s="44"/>
      <x:c r="P977" s="44"/>
    </x:row>
    <x:row r="978">
      <x:c r="J978" s="40"/>
      <x:c r="K978" s="40"/>
      <x:c r="N978" s="42"/>
      <x:c r="O978" s="44"/>
      <x:c r="P978" s="44"/>
    </x:row>
    <x:row r="979">
      <x:c r="J979" s="40"/>
      <x:c r="K979" s="40"/>
      <x:c r="N979" s="42"/>
      <x:c r="O979" s="44"/>
      <x:c r="P979" s="44"/>
    </x:row>
    <x:row r="980">
      <x:c r="J980" s="40"/>
      <x:c r="K980" s="40"/>
      <x:c r="N980" s="42"/>
      <x:c r="O980" s="44"/>
      <x:c r="P980" s="44"/>
    </x:row>
    <x:row r="981">
      <x:c r="J981" s="40"/>
      <x:c r="K981" s="40"/>
      <x:c r="N981" s="42"/>
      <x:c r="O981" s="44"/>
      <x:c r="P981" s="44"/>
    </x:row>
    <x:row r="982">
      <x:c r="J982" s="40"/>
      <x:c r="K982" s="40"/>
      <x:c r="N982" s="42"/>
      <x:c r="O982" s="44"/>
      <x:c r="P982" s="44"/>
    </x:row>
    <x:row r="983">
      <x:c r="J983" s="40"/>
      <x:c r="K983" s="40"/>
      <x:c r="N983" s="42"/>
      <x:c r="O983" s="44"/>
      <x:c r="P983" s="44"/>
    </x:row>
    <x:row r="984">
      <x:c r="J984" s="40"/>
      <x:c r="K984" s="40"/>
      <x:c r="N984" s="42"/>
      <x:c r="O984" s="44"/>
      <x:c r="P984" s="44"/>
    </x:row>
    <x:row r="985">
      <x:c r="J985" s="40"/>
      <x:c r="K985" s="40"/>
      <x:c r="N985" s="42"/>
      <x:c r="O985" s="44"/>
      <x:c r="P985" s="44"/>
    </x:row>
    <x:row r="986">
      <x:c r="J986" s="40"/>
      <x:c r="K986" s="40"/>
      <x:c r="N986" s="42"/>
      <x:c r="O986" s="44"/>
      <x:c r="P986" s="44"/>
    </x:row>
    <x:row r="987">
      <x:c r="J987" s="40"/>
      <x:c r="K987" s="40"/>
      <x:c r="N987" s="42"/>
      <x:c r="O987" s="44"/>
      <x:c r="P987" s="44"/>
    </x:row>
    <x:row r="988">
      <x:c r="J988" s="40"/>
      <x:c r="K988" s="40"/>
      <x:c r="N988" s="42"/>
      <x:c r="O988" s="44"/>
      <x:c r="P988" s="44"/>
    </x:row>
    <x:row r="989">
      <x:c r="J989" s="40"/>
      <x:c r="K989" s="40"/>
      <x:c r="N989" s="42"/>
      <x:c r="O989" s="44"/>
      <x:c r="P989" s="44"/>
    </x:row>
    <x:row r="990">
      <x:c r="J990" s="40"/>
      <x:c r="K990" s="40"/>
      <x:c r="N990" s="42"/>
      <x:c r="O990" s="44"/>
      <x:c r="P990" s="44"/>
    </x:row>
    <x:row r="991">
      <x:c r="J991" s="40"/>
      <x:c r="K991" s="40"/>
      <x:c r="N991" s="42"/>
      <x:c r="O991" s="44"/>
      <x:c r="P991" s="44"/>
    </x:row>
    <x:row r="992">
      <x:c r="J992" s="40"/>
      <x:c r="K992" s="40"/>
      <x:c r="N992" s="42"/>
      <x:c r="O992" s="44"/>
      <x:c r="P992" s="44"/>
    </x:row>
    <x:row r="993">
      <x:c r="J993" s="40"/>
      <x:c r="K993" s="40"/>
      <x:c r="N993" s="42"/>
      <x:c r="O993" s="44"/>
      <x:c r="P993" s="44"/>
    </x:row>
    <x:row r="994">
      <x:c r="J994" s="40"/>
      <x:c r="K994" s="40"/>
      <x:c r="N994" s="42"/>
      <x:c r="O994" s="44"/>
      <x:c r="P994" s="44"/>
    </x:row>
    <x:row r="995">
      <x:c r="J995" s="40"/>
      <x:c r="K995" s="40"/>
      <x:c r="N995" s="42"/>
      <x:c r="O995" s="44"/>
      <x:c r="P995" s="44"/>
    </x:row>
    <x:row r="996">
      <x:c r="J996" s="40"/>
      <x:c r="K996" s="40"/>
      <x:c r="N996" s="42"/>
      <x:c r="O996" s="44"/>
      <x:c r="P996" s="44"/>
    </x:row>
    <x:row r="997">
      <x:c r="J997" s="40"/>
      <x:c r="K997" s="40"/>
      <x:c r="N997" s="42"/>
      <x:c r="O997" s="44"/>
      <x:c r="P997" s="44"/>
    </x:row>
    <x:row r="998">
      <x:c r="J998" s="40"/>
      <x:c r="K998" s="40"/>
      <x:c r="N998" s="42"/>
      <x:c r="O998" s="44"/>
      <x:c r="P998" s="44"/>
    </x:row>
    <x:row r="999">
      <x:c r="J999" s="40"/>
      <x:c r="K999" s="40"/>
      <x:c r="N999" s="42"/>
      <x:c r="O999" s="44"/>
      <x:c r="P999" s="44"/>
    </x:row>
    <x:row r="1000">
      <x:c r="J1000" s="40"/>
      <x:c r="K1000" s="40"/>
      <x:c r="N1000" s="42"/>
      <x:c r="O1000" s="44"/>
      <x:c r="P1000" s="44"/>
    </x:row>
  </x:sheetData>
  <x:mergeCells>
    <x:mergeCell ref="A1:Q1"/>
  </x:mergeCells>
  <x:dataValidations count="2">
    <x:dataValidation type="list" sqref="L4:L1000">
      <x:formula1>"Yes,No,Candidate"</x:formula1>
    </x:dataValidation>
    <x:dataValidation type="list" sqref="M4:M1000">
      <x:formula1>"Low,Medium,High,Critical"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42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  <x:col min="16" max="16" width="14" hidden="0" customWidth="1"/>
    <x:col min="17" max="17" width="16" hidden="0" customWidth="1"/>
    <x:col min="18" max="18" width="12" hidden="0" customWidth="1"/>
  </x:cols>
  <x:sheetData>
    <x:row r="1">
      <x:c r="A1" s="5" t="str">
        <x:v>Centralized Item / SKU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34" t="str">
        <x:v>Item ID</x:v>
      </x:c>
      <x:c r="B3" s="34" t="str">
        <x:v>Company Code</x:v>
      </x:c>
      <x:c r="C3" s="34" t="str">
        <x:v>SKU</x:v>
      </x:c>
      <x:c r="D3" s="34" t="str">
        <x:v>Normalized Description</x:v>
      </x:c>
      <x:c r="E3" s="34" t="str">
        <x:v>Category</x:v>
      </x:c>
      <x:c r="F3" s="34" t="str">
        <x:v>Subcategory</x:v>
      </x:c>
      <x:c r="G3" s="34" t="str">
        <x:v>Manufacturer</x:v>
      </x:c>
      <x:c r="H3" s="34" t="str">
        <x:v>Manufacturer Part #</x:v>
      </x:c>
      <x:c r="I3" s="34" t="str">
        <x:v>Unit of Measure</x:v>
      </x:c>
      <x:c r="J3" s="34" t="str">
        <x:v>Primary Supplier ID</x:v>
      </x:c>
      <x:c r="K3" s="34" t="str">
        <x:v>Standard Cost</x:v>
      </x:c>
      <x:c r="L3" s="34" t="str">
        <x:v>Last Cost</x:v>
      </x:c>
      <x:c r="M3" s="34" t="str">
        <x:v>Lead Time Days</x:v>
      </x:c>
      <x:c r="N3" s="34" t="str">
        <x:v>Min Qty</x:v>
      </x:c>
      <x:c r="O3" s="34" t="str">
        <x:v>Max Qty</x:v>
      </x:c>
      <x:c r="P3" s="34" t="str">
        <x:v>Reorder Point</x:v>
      </x:c>
      <x:c r="Q3" s="34" t="str">
        <x:v>Strategic Legacy?</x:v>
      </x:c>
      <x:c r="R3" s="34" t="str">
        <x:v>Active?</x:v>
      </x:c>
    </x:row>
    <x:row r="4">
      <x:c r="K4" s="42"/>
      <x:c r="L4" s="42"/>
      <x:c r="M4" s="46"/>
      <x:c r="N4" s="46"/>
      <x:c r="O4" s="46"/>
      <x:c r="P4" s="46"/>
    </x:row>
    <x:row r="5">
      <x:c r="K5" s="42"/>
      <x:c r="L5" s="42"/>
      <x:c r="M5" s="46"/>
      <x:c r="N5" s="46"/>
      <x:c r="O5" s="46"/>
      <x:c r="P5" s="46"/>
    </x:row>
    <x:row r="6">
      <x:c r="K6" s="42"/>
      <x:c r="L6" s="42"/>
      <x:c r="M6" s="46"/>
      <x:c r="N6" s="46"/>
      <x:c r="O6" s="46"/>
      <x:c r="P6" s="46"/>
    </x:row>
    <x:row r="7">
      <x:c r="K7" s="42"/>
      <x:c r="L7" s="42"/>
      <x:c r="M7" s="46"/>
      <x:c r="N7" s="46"/>
      <x:c r="O7" s="46"/>
      <x:c r="P7" s="46"/>
    </x:row>
    <x:row r="8">
      <x:c r="K8" s="42"/>
      <x:c r="L8" s="42"/>
      <x:c r="M8" s="46"/>
      <x:c r="N8" s="46"/>
      <x:c r="O8" s="46"/>
      <x:c r="P8" s="46"/>
    </x:row>
    <x:row r="9">
      <x:c r="K9" s="42"/>
      <x:c r="L9" s="42"/>
      <x:c r="M9" s="46"/>
      <x:c r="N9" s="46"/>
      <x:c r="O9" s="46"/>
      <x:c r="P9" s="46"/>
    </x:row>
    <x:row r="10">
      <x:c r="K10" s="42"/>
      <x:c r="L10" s="42"/>
      <x:c r="M10" s="46"/>
      <x:c r="N10" s="46"/>
      <x:c r="O10" s="46"/>
      <x:c r="P10" s="46"/>
    </x:row>
    <x:row r="11">
      <x:c r="K11" s="42"/>
      <x:c r="L11" s="42"/>
      <x:c r="M11" s="46"/>
      <x:c r="N11" s="46"/>
      <x:c r="O11" s="46"/>
      <x:c r="P11" s="46"/>
    </x:row>
    <x:row r="12">
      <x:c r="K12" s="42"/>
      <x:c r="L12" s="42"/>
      <x:c r="M12" s="46"/>
      <x:c r="N12" s="46"/>
      <x:c r="O12" s="46"/>
      <x:c r="P12" s="46"/>
    </x:row>
    <x:row r="13">
      <x:c r="K13" s="42"/>
      <x:c r="L13" s="42"/>
      <x:c r="M13" s="46"/>
      <x:c r="N13" s="46"/>
      <x:c r="O13" s="46"/>
      <x:c r="P13" s="46"/>
    </x:row>
    <x:row r="14">
      <x:c r="K14" s="42"/>
      <x:c r="L14" s="42"/>
      <x:c r="M14" s="46"/>
      <x:c r="N14" s="46"/>
      <x:c r="O14" s="46"/>
      <x:c r="P14" s="46"/>
    </x:row>
    <x:row r="15">
      <x:c r="K15" s="42"/>
      <x:c r="L15" s="42"/>
      <x:c r="M15" s="46"/>
      <x:c r="N15" s="46"/>
      <x:c r="O15" s="46"/>
      <x:c r="P15" s="46"/>
    </x:row>
    <x:row r="16">
      <x:c r="K16" s="42"/>
      <x:c r="L16" s="42"/>
      <x:c r="M16" s="46"/>
      <x:c r="N16" s="46"/>
      <x:c r="O16" s="46"/>
      <x:c r="P16" s="46"/>
    </x:row>
    <x:row r="17">
      <x:c r="K17" s="42"/>
      <x:c r="L17" s="42"/>
      <x:c r="M17" s="46"/>
      <x:c r="N17" s="46"/>
      <x:c r="O17" s="46"/>
      <x:c r="P17" s="46"/>
    </x:row>
    <x:row r="18">
      <x:c r="K18" s="42"/>
      <x:c r="L18" s="42"/>
      <x:c r="M18" s="46"/>
      <x:c r="N18" s="46"/>
      <x:c r="O18" s="46"/>
      <x:c r="P18" s="46"/>
    </x:row>
    <x:row r="19">
      <x:c r="K19" s="42"/>
      <x:c r="L19" s="42"/>
      <x:c r="M19" s="46"/>
      <x:c r="N19" s="46"/>
      <x:c r="O19" s="46"/>
      <x:c r="P19" s="46"/>
    </x:row>
    <x:row r="20">
      <x:c r="K20" s="42"/>
      <x:c r="L20" s="42"/>
      <x:c r="M20" s="46"/>
      <x:c r="N20" s="46"/>
      <x:c r="O20" s="46"/>
      <x:c r="P20" s="46"/>
    </x:row>
    <x:row r="21">
      <x:c r="K21" s="42"/>
      <x:c r="L21" s="42"/>
      <x:c r="M21" s="46"/>
      <x:c r="N21" s="46"/>
      <x:c r="O21" s="46"/>
      <x:c r="P21" s="46"/>
    </x:row>
    <x:row r="22">
      <x:c r="K22" s="42"/>
      <x:c r="L22" s="42"/>
      <x:c r="M22" s="46"/>
      <x:c r="N22" s="46"/>
      <x:c r="O22" s="46"/>
      <x:c r="P22" s="46"/>
    </x:row>
    <x:row r="23">
      <x:c r="K23" s="42"/>
      <x:c r="L23" s="42"/>
      <x:c r="M23" s="46"/>
      <x:c r="N23" s="46"/>
      <x:c r="O23" s="46"/>
      <x:c r="P23" s="46"/>
    </x:row>
    <x:row r="24">
      <x:c r="K24" s="42"/>
      <x:c r="L24" s="42"/>
      <x:c r="M24" s="46"/>
      <x:c r="N24" s="46"/>
      <x:c r="O24" s="46"/>
      <x:c r="P24" s="46"/>
    </x:row>
    <x:row r="25">
      <x:c r="K25" s="42"/>
      <x:c r="L25" s="42"/>
      <x:c r="M25" s="46"/>
      <x:c r="N25" s="46"/>
      <x:c r="O25" s="46"/>
      <x:c r="P25" s="46"/>
    </x:row>
    <x:row r="26">
      <x:c r="K26" s="42"/>
      <x:c r="L26" s="42"/>
      <x:c r="M26" s="46"/>
      <x:c r="N26" s="46"/>
      <x:c r="O26" s="46"/>
      <x:c r="P26" s="46"/>
    </x:row>
    <x:row r="27">
      <x:c r="K27" s="42"/>
      <x:c r="L27" s="42"/>
      <x:c r="M27" s="46"/>
      <x:c r="N27" s="46"/>
      <x:c r="O27" s="46"/>
      <x:c r="P27" s="46"/>
    </x:row>
    <x:row r="28">
      <x:c r="K28" s="42"/>
      <x:c r="L28" s="42"/>
      <x:c r="M28" s="46"/>
      <x:c r="N28" s="46"/>
      <x:c r="O28" s="46"/>
      <x:c r="P28" s="46"/>
    </x:row>
    <x:row r="29">
      <x:c r="K29" s="42"/>
      <x:c r="L29" s="42"/>
      <x:c r="M29" s="46"/>
      <x:c r="N29" s="46"/>
      <x:c r="O29" s="46"/>
      <x:c r="P29" s="46"/>
    </x:row>
    <x:row r="30">
      <x:c r="K30" s="42"/>
      <x:c r="L30" s="42"/>
      <x:c r="M30" s="46"/>
      <x:c r="N30" s="46"/>
      <x:c r="O30" s="46"/>
      <x:c r="P30" s="46"/>
    </x:row>
    <x:row r="31">
      <x:c r="K31" s="42"/>
      <x:c r="L31" s="42"/>
      <x:c r="M31" s="46"/>
      <x:c r="N31" s="46"/>
      <x:c r="O31" s="46"/>
      <x:c r="P31" s="46"/>
    </x:row>
    <x:row r="32">
      <x:c r="K32" s="42"/>
      <x:c r="L32" s="42"/>
      <x:c r="M32" s="46"/>
      <x:c r="N32" s="46"/>
      <x:c r="O32" s="46"/>
      <x:c r="P32" s="46"/>
    </x:row>
    <x:row r="33">
      <x:c r="K33" s="42"/>
      <x:c r="L33" s="42"/>
      <x:c r="M33" s="46"/>
      <x:c r="N33" s="46"/>
      <x:c r="O33" s="46"/>
      <x:c r="P33" s="46"/>
    </x:row>
    <x:row r="34">
      <x:c r="K34" s="42"/>
      <x:c r="L34" s="42"/>
      <x:c r="M34" s="46"/>
      <x:c r="N34" s="46"/>
      <x:c r="O34" s="46"/>
      <x:c r="P34" s="46"/>
    </x:row>
    <x:row r="35">
      <x:c r="K35" s="42"/>
      <x:c r="L35" s="42"/>
      <x:c r="M35" s="46"/>
      <x:c r="N35" s="46"/>
      <x:c r="O35" s="46"/>
      <x:c r="P35" s="46"/>
    </x:row>
    <x:row r="36">
      <x:c r="K36" s="42"/>
      <x:c r="L36" s="42"/>
      <x:c r="M36" s="46"/>
      <x:c r="N36" s="46"/>
      <x:c r="O36" s="46"/>
      <x:c r="P36" s="46"/>
    </x:row>
    <x:row r="37">
      <x:c r="K37" s="42"/>
      <x:c r="L37" s="42"/>
      <x:c r="M37" s="46"/>
      <x:c r="N37" s="46"/>
      <x:c r="O37" s="46"/>
      <x:c r="P37" s="46"/>
    </x:row>
    <x:row r="38">
      <x:c r="K38" s="42"/>
      <x:c r="L38" s="42"/>
      <x:c r="M38" s="46"/>
      <x:c r="N38" s="46"/>
      <x:c r="O38" s="46"/>
      <x:c r="P38" s="46"/>
    </x:row>
    <x:row r="39">
      <x:c r="K39" s="42"/>
      <x:c r="L39" s="42"/>
      <x:c r="M39" s="46"/>
      <x:c r="N39" s="46"/>
      <x:c r="O39" s="46"/>
      <x:c r="P39" s="46"/>
    </x:row>
    <x:row r="40">
      <x:c r="K40" s="42"/>
      <x:c r="L40" s="42"/>
      <x:c r="M40" s="46"/>
      <x:c r="N40" s="46"/>
      <x:c r="O40" s="46"/>
      <x:c r="P40" s="46"/>
    </x:row>
    <x:row r="41">
      <x:c r="K41" s="42"/>
      <x:c r="L41" s="42"/>
      <x:c r="M41" s="46"/>
      <x:c r="N41" s="46"/>
      <x:c r="O41" s="46"/>
      <x:c r="P41" s="46"/>
    </x:row>
    <x:row r="42">
      <x:c r="K42" s="42"/>
      <x:c r="L42" s="42"/>
      <x:c r="M42" s="46"/>
      <x:c r="N42" s="46"/>
      <x:c r="O42" s="46"/>
      <x:c r="P42" s="46"/>
    </x:row>
    <x:row r="43">
      <x:c r="K43" s="42"/>
      <x:c r="L43" s="42"/>
      <x:c r="M43" s="46"/>
      <x:c r="N43" s="46"/>
      <x:c r="O43" s="46"/>
      <x:c r="P43" s="46"/>
    </x:row>
    <x:row r="44">
      <x:c r="K44" s="42"/>
      <x:c r="L44" s="42"/>
      <x:c r="M44" s="46"/>
      <x:c r="N44" s="46"/>
      <x:c r="O44" s="46"/>
      <x:c r="P44" s="46"/>
    </x:row>
    <x:row r="45">
      <x:c r="K45" s="42"/>
      <x:c r="L45" s="42"/>
      <x:c r="M45" s="46"/>
      <x:c r="N45" s="46"/>
      <x:c r="O45" s="46"/>
      <x:c r="P45" s="46"/>
    </x:row>
    <x:row r="46">
      <x:c r="K46" s="42"/>
      <x:c r="L46" s="42"/>
      <x:c r="M46" s="46"/>
      <x:c r="N46" s="46"/>
      <x:c r="O46" s="46"/>
      <x:c r="P46" s="46"/>
    </x:row>
    <x:row r="47">
      <x:c r="K47" s="42"/>
      <x:c r="L47" s="42"/>
      <x:c r="M47" s="46"/>
      <x:c r="N47" s="46"/>
      <x:c r="O47" s="46"/>
      <x:c r="P47" s="46"/>
    </x:row>
    <x:row r="48">
      <x:c r="K48" s="42"/>
      <x:c r="L48" s="42"/>
      <x:c r="M48" s="46"/>
      <x:c r="N48" s="46"/>
      <x:c r="O48" s="46"/>
      <x:c r="P48" s="46"/>
    </x:row>
    <x:row r="49">
      <x:c r="K49" s="42"/>
      <x:c r="L49" s="42"/>
      <x:c r="M49" s="46"/>
      <x:c r="N49" s="46"/>
      <x:c r="O49" s="46"/>
      <x:c r="P49" s="46"/>
    </x:row>
    <x:row r="50">
      <x:c r="K50" s="42"/>
      <x:c r="L50" s="42"/>
      <x:c r="M50" s="46"/>
      <x:c r="N50" s="46"/>
      <x:c r="O50" s="46"/>
      <x:c r="P50" s="46"/>
    </x:row>
    <x:row r="51">
      <x:c r="K51" s="42"/>
      <x:c r="L51" s="42"/>
      <x:c r="M51" s="46"/>
      <x:c r="N51" s="46"/>
      <x:c r="O51" s="46"/>
      <x:c r="P51" s="46"/>
    </x:row>
    <x:row r="52">
      <x:c r="K52" s="42"/>
      <x:c r="L52" s="42"/>
      <x:c r="M52" s="46"/>
      <x:c r="N52" s="46"/>
      <x:c r="O52" s="46"/>
      <x:c r="P52" s="46"/>
    </x:row>
    <x:row r="53">
      <x:c r="K53" s="42"/>
      <x:c r="L53" s="42"/>
      <x:c r="M53" s="46"/>
      <x:c r="N53" s="46"/>
      <x:c r="O53" s="46"/>
      <x:c r="P53" s="46"/>
    </x:row>
    <x:row r="54">
      <x:c r="K54" s="42"/>
      <x:c r="L54" s="42"/>
      <x:c r="M54" s="46"/>
      <x:c r="N54" s="46"/>
      <x:c r="O54" s="46"/>
      <x:c r="P54" s="46"/>
    </x:row>
    <x:row r="55">
      <x:c r="K55" s="42"/>
      <x:c r="L55" s="42"/>
      <x:c r="M55" s="46"/>
      <x:c r="N55" s="46"/>
      <x:c r="O55" s="46"/>
      <x:c r="P55" s="46"/>
    </x:row>
    <x:row r="56">
      <x:c r="K56" s="42"/>
      <x:c r="L56" s="42"/>
      <x:c r="M56" s="46"/>
      <x:c r="N56" s="46"/>
      <x:c r="O56" s="46"/>
      <x:c r="P56" s="46"/>
    </x:row>
    <x:row r="57">
      <x:c r="K57" s="42"/>
      <x:c r="L57" s="42"/>
      <x:c r="M57" s="46"/>
      <x:c r="N57" s="46"/>
      <x:c r="O57" s="46"/>
      <x:c r="P57" s="46"/>
    </x:row>
    <x:row r="58">
      <x:c r="K58" s="42"/>
      <x:c r="L58" s="42"/>
      <x:c r="M58" s="46"/>
      <x:c r="N58" s="46"/>
      <x:c r="O58" s="46"/>
      <x:c r="P58" s="46"/>
    </x:row>
    <x:row r="59">
      <x:c r="K59" s="42"/>
      <x:c r="L59" s="42"/>
      <x:c r="M59" s="46"/>
      <x:c r="N59" s="46"/>
      <x:c r="O59" s="46"/>
      <x:c r="P59" s="46"/>
    </x:row>
    <x:row r="60">
      <x:c r="K60" s="42"/>
      <x:c r="L60" s="42"/>
      <x:c r="M60" s="46"/>
      <x:c r="N60" s="46"/>
      <x:c r="O60" s="46"/>
      <x:c r="P60" s="46"/>
    </x:row>
    <x:row r="61">
      <x:c r="K61" s="42"/>
      <x:c r="L61" s="42"/>
      <x:c r="M61" s="46"/>
      <x:c r="N61" s="46"/>
      <x:c r="O61" s="46"/>
      <x:c r="P61" s="46"/>
    </x:row>
    <x:row r="62">
      <x:c r="K62" s="42"/>
      <x:c r="L62" s="42"/>
      <x:c r="M62" s="46"/>
      <x:c r="N62" s="46"/>
      <x:c r="O62" s="46"/>
      <x:c r="P62" s="46"/>
    </x:row>
    <x:row r="63">
      <x:c r="K63" s="42"/>
      <x:c r="L63" s="42"/>
      <x:c r="M63" s="46"/>
      <x:c r="N63" s="46"/>
      <x:c r="O63" s="46"/>
      <x:c r="P63" s="46"/>
    </x:row>
    <x:row r="64">
      <x:c r="K64" s="42"/>
      <x:c r="L64" s="42"/>
      <x:c r="M64" s="46"/>
      <x:c r="N64" s="46"/>
      <x:c r="O64" s="46"/>
      <x:c r="P64" s="46"/>
    </x:row>
    <x:row r="65">
      <x:c r="K65" s="42"/>
      <x:c r="L65" s="42"/>
      <x:c r="M65" s="46"/>
      <x:c r="N65" s="46"/>
      <x:c r="O65" s="46"/>
      <x:c r="P65" s="46"/>
    </x:row>
    <x:row r="66">
      <x:c r="K66" s="42"/>
      <x:c r="L66" s="42"/>
      <x:c r="M66" s="46"/>
      <x:c r="N66" s="46"/>
      <x:c r="O66" s="46"/>
      <x:c r="P66" s="46"/>
    </x:row>
    <x:row r="67">
      <x:c r="K67" s="42"/>
      <x:c r="L67" s="42"/>
      <x:c r="M67" s="46"/>
      <x:c r="N67" s="46"/>
      <x:c r="O67" s="46"/>
      <x:c r="P67" s="46"/>
    </x:row>
    <x:row r="68">
      <x:c r="K68" s="42"/>
      <x:c r="L68" s="42"/>
      <x:c r="M68" s="46"/>
      <x:c r="N68" s="46"/>
      <x:c r="O68" s="46"/>
      <x:c r="P68" s="46"/>
    </x:row>
    <x:row r="69">
      <x:c r="K69" s="42"/>
      <x:c r="L69" s="42"/>
      <x:c r="M69" s="46"/>
      <x:c r="N69" s="46"/>
      <x:c r="O69" s="46"/>
      <x:c r="P69" s="46"/>
    </x:row>
    <x:row r="70">
      <x:c r="K70" s="42"/>
      <x:c r="L70" s="42"/>
      <x:c r="M70" s="46"/>
      <x:c r="N70" s="46"/>
      <x:c r="O70" s="46"/>
      <x:c r="P70" s="46"/>
    </x:row>
    <x:row r="71">
      <x:c r="K71" s="42"/>
      <x:c r="L71" s="42"/>
      <x:c r="M71" s="46"/>
      <x:c r="N71" s="46"/>
      <x:c r="O71" s="46"/>
      <x:c r="P71" s="46"/>
    </x:row>
    <x:row r="72">
      <x:c r="K72" s="42"/>
      <x:c r="L72" s="42"/>
      <x:c r="M72" s="46"/>
      <x:c r="N72" s="46"/>
      <x:c r="O72" s="46"/>
      <x:c r="P72" s="46"/>
    </x:row>
    <x:row r="73">
      <x:c r="K73" s="42"/>
      <x:c r="L73" s="42"/>
      <x:c r="M73" s="46"/>
      <x:c r="N73" s="46"/>
      <x:c r="O73" s="46"/>
      <x:c r="P73" s="46"/>
    </x:row>
    <x:row r="74">
      <x:c r="K74" s="42"/>
      <x:c r="L74" s="42"/>
      <x:c r="M74" s="46"/>
      <x:c r="N74" s="46"/>
      <x:c r="O74" s="46"/>
      <x:c r="P74" s="46"/>
    </x:row>
    <x:row r="75">
      <x:c r="K75" s="42"/>
      <x:c r="L75" s="42"/>
      <x:c r="M75" s="46"/>
      <x:c r="N75" s="46"/>
      <x:c r="O75" s="46"/>
      <x:c r="P75" s="46"/>
    </x:row>
    <x:row r="76">
      <x:c r="K76" s="42"/>
      <x:c r="L76" s="42"/>
      <x:c r="M76" s="46"/>
      <x:c r="N76" s="46"/>
      <x:c r="O76" s="46"/>
      <x:c r="P76" s="46"/>
    </x:row>
    <x:row r="77">
      <x:c r="K77" s="42"/>
      <x:c r="L77" s="42"/>
      <x:c r="M77" s="46"/>
      <x:c r="N77" s="46"/>
      <x:c r="O77" s="46"/>
      <x:c r="P77" s="46"/>
    </x:row>
    <x:row r="78">
      <x:c r="K78" s="42"/>
      <x:c r="L78" s="42"/>
      <x:c r="M78" s="46"/>
      <x:c r="N78" s="46"/>
      <x:c r="O78" s="46"/>
      <x:c r="P78" s="46"/>
    </x:row>
    <x:row r="79">
      <x:c r="K79" s="42"/>
      <x:c r="L79" s="42"/>
      <x:c r="M79" s="46"/>
      <x:c r="N79" s="46"/>
      <x:c r="O79" s="46"/>
      <x:c r="P79" s="46"/>
    </x:row>
    <x:row r="80">
      <x:c r="K80" s="42"/>
      <x:c r="L80" s="42"/>
      <x:c r="M80" s="46"/>
      <x:c r="N80" s="46"/>
      <x:c r="O80" s="46"/>
      <x:c r="P80" s="46"/>
    </x:row>
    <x:row r="81">
      <x:c r="K81" s="42"/>
      <x:c r="L81" s="42"/>
      <x:c r="M81" s="46"/>
      <x:c r="N81" s="46"/>
      <x:c r="O81" s="46"/>
      <x:c r="P81" s="46"/>
    </x:row>
    <x:row r="82">
      <x:c r="K82" s="42"/>
      <x:c r="L82" s="42"/>
      <x:c r="M82" s="46"/>
      <x:c r="N82" s="46"/>
      <x:c r="O82" s="46"/>
      <x:c r="P82" s="46"/>
    </x:row>
    <x:row r="83">
      <x:c r="K83" s="42"/>
      <x:c r="L83" s="42"/>
      <x:c r="M83" s="46"/>
      <x:c r="N83" s="46"/>
      <x:c r="O83" s="46"/>
      <x:c r="P83" s="46"/>
    </x:row>
    <x:row r="84">
      <x:c r="K84" s="42"/>
      <x:c r="L84" s="42"/>
      <x:c r="M84" s="46"/>
      <x:c r="N84" s="46"/>
      <x:c r="O84" s="46"/>
      <x:c r="P84" s="46"/>
    </x:row>
    <x:row r="85">
      <x:c r="K85" s="42"/>
      <x:c r="L85" s="42"/>
      <x:c r="M85" s="46"/>
      <x:c r="N85" s="46"/>
      <x:c r="O85" s="46"/>
      <x:c r="P85" s="46"/>
    </x:row>
    <x:row r="86">
      <x:c r="K86" s="42"/>
      <x:c r="L86" s="42"/>
      <x:c r="M86" s="46"/>
      <x:c r="N86" s="46"/>
      <x:c r="O86" s="46"/>
      <x:c r="P86" s="46"/>
    </x:row>
    <x:row r="87">
      <x:c r="K87" s="42"/>
      <x:c r="L87" s="42"/>
      <x:c r="M87" s="46"/>
      <x:c r="N87" s="46"/>
      <x:c r="O87" s="46"/>
      <x:c r="P87" s="46"/>
    </x:row>
    <x:row r="88">
      <x:c r="K88" s="42"/>
      <x:c r="L88" s="42"/>
      <x:c r="M88" s="46"/>
      <x:c r="N88" s="46"/>
      <x:c r="O88" s="46"/>
      <x:c r="P88" s="46"/>
    </x:row>
    <x:row r="89">
      <x:c r="K89" s="42"/>
      <x:c r="L89" s="42"/>
      <x:c r="M89" s="46"/>
      <x:c r="N89" s="46"/>
      <x:c r="O89" s="46"/>
      <x:c r="P89" s="46"/>
    </x:row>
    <x:row r="90">
      <x:c r="K90" s="42"/>
      <x:c r="L90" s="42"/>
      <x:c r="M90" s="46"/>
      <x:c r="N90" s="46"/>
      <x:c r="O90" s="46"/>
      <x:c r="P90" s="46"/>
    </x:row>
    <x:row r="91">
      <x:c r="K91" s="42"/>
      <x:c r="L91" s="42"/>
      <x:c r="M91" s="46"/>
      <x:c r="N91" s="46"/>
      <x:c r="O91" s="46"/>
      <x:c r="P91" s="46"/>
    </x:row>
    <x:row r="92">
      <x:c r="K92" s="42"/>
      <x:c r="L92" s="42"/>
      <x:c r="M92" s="46"/>
      <x:c r="N92" s="46"/>
      <x:c r="O92" s="46"/>
      <x:c r="P92" s="46"/>
    </x:row>
    <x:row r="93">
      <x:c r="K93" s="42"/>
      <x:c r="L93" s="42"/>
      <x:c r="M93" s="46"/>
      <x:c r="N93" s="46"/>
      <x:c r="O93" s="46"/>
      <x:c r="P93" s="46"/>
    </x:row>
    <x:row r="94">
      <x:c r="K94" s="42"/>
      <x:c r="L94" s="42"/>
      <x:c r="M94" s="46"/>
      <x:c r="N94" s="46"/>
      <x:c r="O94" s="46"/>
      <x:c r="P94" s="46"/>
    </x:row>
    <x:row r="95">
      <x:c r="K95" s="42"/>
      <x:c r="L95" s="42"/>
      <x:c r="M95" s="46"/>
      <x:c r="N95" s="46"/>
      <x:c r="O95" s="46"/>
      <x:c r="P95" s="46"/>
    </x:row>
    <x:row r="96">
      <x:c r="K96" s="42"/>
      <x:c r="L96" s="42"/>
      <x:c r="M96" s="46"/>
      <x:c r="N96" s="46"/>
      <x:c r="O96" s="46"/>
      <x:c r="P96" s="46"/>
    </x:row>
    <x:row r="97">
      <x:c r="K97" s="42"/>
      <x:c r="L97" s="42"/>
      <x:c r="M97" s="46"/>
      <x:c r="N97" s="46"/>
      <x:c r="O97" s="46"/>
      <x:c r="P97" s="46"/>
    </x:row>
    <x:row r="98">
      <x:c r="K98" s="42"/>
      <x:c r="L98" s="42"/>
      <x:c r="M98" s="46"/>
      <x:c r="N98" s="46"/>
      <x:c r="O98" s="46"/>
      <x:c r="P98" s="46"/>
    </x:row>
    <x:row r="99">
      <x:c r="K99" s="42"/>
      <x:c r="L99" s="42"/>
      <x:c r="M99" s="46"/>
      <x:c r="N99" s="46"/>
      <x:c r="O99" s="46"/>
      <x:c r="P99" s="46"/>
    </x:row>
    <x:row r="100">
      <x:c r="K100" s="42"/>
      <x:c r="L100" s="42"/>
      <x:c r="M100" s="46"/>
      <x:c r="N100" s="46"/>
      <x:c r="O100" s="46"/>
      <x:c r="P100" s="46"/>
    </x:row>
    <x:row r="101">
      <x:c r="K101" s="42"/>
      <x:c r="L101" s="42"/>
      <x:c r="M101" s="46"/>
      <x:c r="N101" s="46"/>
      <x:c r="O101" s="46"/>
      <x:c r="P101" s="46"/>
    </x:row>
    <x:row r="102">
      <x:c r="K102" s="42"/>
      <x:c r="L102" s="42"/>
      <x:c r="M102" s="46"/>
      <x:c r="N102" s="46"/>
      <x:c r="O102" s="46"/>
      <x:c r="P102" s="46"/>
    </x:row>
    <x:row r="103">
      <x:c r="K103" s="42"/>
      <x:c r="L103" s="42"/>
      <x:c r="M103" s="46"/>
      <x:c r="N103" s="46"/>
      <x:c r="O103" s="46"/>
      <x:c r="P103" s="46"/>
    </x:row>
    <x:row r="104">
      <x:c r="K104" s="42"/>
      <x:c r="L104" s="42"/>
      <x:c r="M104" s="46"/>
      <x:c r="N104" s="46"/>
      <x:c r="O104" s="46"/>
      <x:c r="P104" s="46"/>
    </x:row>
    <x:row r="105">
      <x:c r="K105" s="42"/>
      <x:c r="L105" s="42"/>
      <x:c r="M105" s="46"/>
      <x:c r="N105" s="46"/>
      <x:c r="O105" s="46"/>
      <x:c r="P105" s="46"/>
    </x:row>
    <x:row r="106">
      <x:c r="K106" s="42"/>
      <x:c r="L106" s="42"/>
      <x:c r="M106" s="46"/>
      <x:c r="N106" s="46"/>
      <x:c r="O106" s="46"/>
      <x:c r="P106" s="46"/>
    </x:row>
    <x:row r="107">
      <x:c r="K107" s="42"/>
      <x:c r="L107" s="42"/>
      <x:c r="M107" s="46"/>
      <x:c r="N107" s="46"/>
      <x:c r="O107" s="46"/>
      <x:c r="P107" s="46"/>
    </x:row>
    <x:row r="108">
      <x:c r="K108" s="42"/>
      <x:c r="L108" s="42"/>
      <x:c r="M108" s="46"/>
      <x:c r="N108" s="46"/>
      <x:c r="O108" s="46"/>
      <x:c r="P108" s="46"/>
    </x:row>
    <x:row r="109">
      <x:c r="K109" s="42"/>
      <x:c r="L109" s="42"/>
      <x:c r="M109" s="46"/>
      <x:c r="N109" s="46"/>
      <x:c r="O109" s="46"/>
      <x:c r="P109" s="46"/>
    </x:row>
    <x:row r="110">
      <x:c r="K110" s="42"/>
      <x:c r="L110" s="42"/>
      <x:c r="M110" s="46"/>
      <x:c r="N110" s="46"/>
      <x:c r="O110" s="46"/>
      <x:c r="P110" s="46"/>
    </x:row>
    <x:row r="111">
      <x:c r="K111" s="42"/>
      <x:c r="L111" s="42"/>
      <x:c r="M111" s="46"/>
      <x:c r="N111" s="46"/>
      <x:c r="O111" s="46"/>
      <x:c r="P111" s="46"/>
    </x:row>
    <x:row r="112">
      <x:c r="K112" s="42"/>
      <x:c r="L112" s="42"/>
      <x:c r="M112" s="46"/>
      <x:c r="N112" s="46"/>
      <x:c r="O112" s="46"/>
      <x:c r="P112" s="46"/>
    </x:row>
    <x:row r="113">
      <x:c r="K113" s="42"/>
      <x:c r="L113" s="42"/>
      <x:c r="M113" s="46"/>
      <x:c r="N113" s="46"/>
      <x:c r="O113" s="46"/>
      <x:c r="P113" s="46"/>
    </x:row>
    <x:row r="114">
      <x:c r="K114" s="42"/>
      <x:c r="L114" s="42"/>
      <x:c r="M114" s="46"/>
      <x:c r="N114" s="46"/>
      <x:c r="O114" s="46"/>
      <x:c r="P114" s="46"/>
    </x:row>
    <x:row r="115">
      <x:c r="K115" s="42"/>
      <x:c r="L115" s="42"/>
      <x:c r="M115" s="46"/>
      <x:c r="N115" s="46"/>
      <x:c r="O115" s="46"/>
      <x:c r="P115" s="46"/>
    </x:row>
    <x:row r="116">
      <x:c r="K116" s="42"/>
      <x:c r="L116" s="42"/>
      <x:c r="M116" s="46"/>
      <x:c r="N116" s="46"/>
      <x:c r="O116" s="46"/>
      <x:c r="P116" s="46"/>
    </x:row>
    <x:row r="117">
      <x:c r="K117" s="42"/>
      <x:c r="L117" s="42"/>
      <x:c r="M117" s="46"/>
      <x:c r="N117" s="46"/>
      <x:c r="O117" s="46"/>
      <x:c r="P117" s="46"/>
    </x:row>
    <x:row r="118">
      <x:c r="K118" s="42"/>
      <x:c r="L118" s="42"/>
      <x:c r="M118" s="46"/>
      <x:c r="N118" s="46"/>
      <x:c r="O118" s="46"/>
      <x:c r="P118" s="46"/>
    </x:row>
    <x:row r="119">
      <x:c r="K119" s="42"/>
      <x:c r="L119" s="42"/>
      <x:c r="M119" s="46"/>
      <x:c r="N119" s="46"/>
      <x:c r="O119" s="46"/>
      <x:c r="P119" s="46"/>
    </x:row>
    <x:row r="120">
      <x:c r="K120" s="42"/>
      <x:c r="L120" s="42"/>
      <x:c r="M120" s="46"/>
      <x:c r="N120" s="46"/>
      <x:c r="O120" s="46"/>
      <x:c r="P120" s="46"/>
    </x:row>
    <x:row r="121">
      <x:c r="K121" s="42"/>
      <x:c r="L121" s="42"/>
      <x:c r="M121" s="46"/>
      <x:c r="N121" s="46"/>
      <x:c r="O121" s="46"/>
      <x:c r="P121" s="46"/>
    </x:row>
    <x:row r="122">
      <x:c r="K122" s="42"/>
      <x:c r="L122" s="42"/>
      <x:c r="M122" s="46"/>
      <x:c r="N122" s="46"/>
      <x:c r="O122" s="46"/>
      <x:c r="P122" s="46"/>
    </x:row>
    <x:row r="123">
      <x:c r="K123" s="42"/>
      <x:c r="L123" s="42"/>
      <x:c r="M123" s="46"/>
      <x:c r="N123" s="46"/>
      <x:c r="O123" s="46"/>
      <x:c r="P123" s="46"/>
    </x:row>
    <x:row r="124">
      <x:c r="K124" s="42"/>
      <x:c r="L124" s="42"/>
      <x:c r="M124" s="46"/>
      <x:c r="N124" s="46"/>
      <x:c r="O124" s="46"/>
      <x:c r="P124" s="46"/>
    </x:row>
    <x:row r="125">
      <x:c r="K125" s="42"/>
      <x:c r="L125" s="42"/>
      <x:c r="M125" s="46"/>
      <x:c r="N125" s="46"/>
      <x:c r="O125" s="46"/>
      <x:c r="P125" s="46"/>
    </x:row>
    <x:row r="126">
      <x:c r="K126" s="42"/>
      <x:c r="L126" s="42"/>
      <x:c r="M126" s="46"/>
      <x:c r="N126" s="46"/>
      <x:c r="O126" s="46"/>
      <x:c r="P126" s="46"/>
    </x:row>
    <x:row r="127">
      <x:c r="K127" s="42"/>
      <x:c r="L127" s="42"/>
      <x:c r="M127" s="46"/>
      <x:c r="N127" s="46"/>
      <x:c r="O127" s="46"/>
      <x:c r="P127" s="46"/>
    </x:row>
    <x:row r="128">
      <x:c r="K128" s="42"/>
      <x:c r="L128" s="42"/>
      <x:c r="M128" s="46"/>
      <x:c r="N128" s="46"/>
      <x:c r="O128" s="46"/>
      <x:c r="P128" s="46"/>
    </x:row>
    <x:row r="129">
      <x:c r="K129" s="42"/>
      <x:c r="L129" s="42"/>
      <x:c r="M129" s="46"/>
      <x:c r="N129" s="46"/>
      <x:c r="O129" s="46"/>
      <x:c r="P129" s="46"/>
    </x:row>
    <x:row r="130">
      <x:c r="K130" s="42"/>
      <x:c r="L130" s="42"/>
      <x:c r="M130" s="46"/>
      <x:c r="N130" s="46"/>
      <x:c r="O130" s="46"/>
      <x:c r="P130" s="46"/>
    </x:row>
    <x:row r="131">
      <x:c r="K131" s="42"/>
      <x:c r="L131" s="42"/>
      <x:c r="M131" s="46"/>
      <x:c r="N131" s="46"/>
      <x:c r="O131" s="46"/>
      <x:c r="P131" s="46"/>
    </x:row>
    <x:row r="132">
      <x:c r="K132" s="42"/>
      <x:c r="L132" s="42"/>
      <x:c r="M132" s="46"/>
      <x:c r="N132" s="46"/>
      <x:c r="O132" s="46"/>
      <x:c r="P132" s="46"/>
    </x:row>
    <x:row r="133">
      <x:c r="K133" s="42"/>
      <x:c r="L133" s="42"/>
      <x:c r="M133" s="46"/>
      <x:c r="N133" s="46"/>
      <x:c r="O133" s="46"/>
      <x:c r="P133" s="46"/>
    </x:row>
    <x:row r="134">
      <x:c r="K134" s="42"/>
      <x:c r="L134" s="42"/>
      <x:c r="M134" s="46"/>
      <x:c r="N134" s="46"/>
      <x:c r="O134" s="46"/>
      <x:c r="P134" s="46"/>
    </x:row>
    <x:row r="135">
      <x:c r="K135" s="42"/>
      <x:c r="L135" s="42"/>
      <x:c r="M135" s="46"/>
      <x:c r="N135" s="46"/>
      <x:c r="O135" s="46"/>
      <x:c r="P135" s="46"/>
    </x:row>
    <x:row r="136">
      <x:c r="K136" s="42"/>
      <x:c r="L136" s="42"/>
      <x:c r="M136" s="46"/>
      <x:c r="N136" s="46"/>
      <x:c r="O136" s="46"/>
      <x:c r="P136" s="46"/>
    </x:row>
    <x:row r="137">
      <x:c r="K137" s="42"/>
      <x:c r="L137" s="42"/>
      <x:c r="M137" s="46"/>
      <x:c r="N137" s="46"/>
      <x:c r="O137" s="46"/>
      <x:c r="P137" s="46"/>
    </x:row>
    <x:row r="138">
      <x:c r="K138" s="42"/>
      <x:c r="L138" s="42"/>
      <x:c r="M138" s="46"/>
      <x:c r="N138" s="46"/>
      <x:c r="O138" s="46"/>
      <x:c r="P138" s="46"/>
    </x:row>
    <x:row r="139">
      <x:c r="K139" s="42"/>
      <x:c r="L139" s="42"/>
      <x:c r="M139" s="46"/>
      <x:c r="N139" s="46"/>
      <x:c r="O139" s="46"/>
      <x:c r="P139" s="46"/>
    </x:row>
    <x:row r="140">
      <x:c r="K140" s="42"/>
      <x:c r="L140" s="42"/>
      <x:c r="M140" s="46"/>
      <x:c r="N140" s="46"/>
      <x:c r="O140" s="46"/>
      <x:c r="P140" s="46"/>
    </x:row>
    <x:row r="141">
      <x:c r="K141" s="42"/>
      <x:c r="L141" s="42"/>
      <x:c r="M141" s="46"/>
      <x:c r="N141" s="46"/>
      <x:c r="O141" s="46"/>
      <x:c r="P141" s="46"/>
    </x:row>
    <x:row r="142">
      <x:c r="K142" s="42"/>
      <x:c r="L142" s="42"/>
      <x:c r="M142" s="46"/>
      <x:c r="N142" s="46"/>
      <x:c r="O142" s="46"/>
      <x:c r="P142" s="46"/>
    </x:row>
    <x:row r="143">
      <x:c r="K143" s="42"/>
      <x:c r="L143" s="42"/>
      <x:c r="M143" s="46"/>
      <x:c r="N143" s="46"/>
      <x:c r="O143" s="46"/>
      <x:c r="P143" s="46"/>
    </x:row>
    <x:row r="144">
      <x:c r="K144" s="42"/>
      <x:c r="L144" s="42"/>
      <x:c r="M144" s="46"/>
      <x:c r="N144" s="46"/>
      <x:c r="O144" s="46"/>
      <x:c r="P144" s="46"/>
    </x:row>
    <x:row r="145">
      <x:c r="K145" s="42"/>
      <x:c r="L145" s="42"/>
      <x:c r="M145" s="46"/>
      <x:c r="N145" s="46"/>
      <x:c r="O145" s="46"/>
      <x:c r="P145" s="46"/>
    </x:row>
    <x:row r="146">
      <x:c r="K146" s="42"/>
      <x:c r="L146" s="42"/>
      <x:c r="M146" s="46"/>
      <x:c r="N146" s="46"/>
      <x:c r="O146" s="46"/>
      <x:c r="P146" s="46"/>
    </x:row>
    <x:row r="147">
      <x:c r="K147" s="42"/>
      <x:c r="L147" s="42"/>
      <x:c r="M147" s="46"/>
      <x:c r="N147" s="46"/>
      <x:c r="O147" s="46"/>
      <x:c r="P147" s="46"/>
    </x:row>
    <x:row r="148">
      <x:c r="K148" s="42"/>
      <x:c r="L148" s="42"/>
      <x:c r="M148" s="46"/>
      <x:c r="N148" s="46"/>
      <x:c r="O148" s="46"/>
      <x:c r="P148" s="46"/>
    </x:row>
    <x:row r="149">
      <x:c r="K149" s="42"/>
      <x:c r="L149" s="42"/>
      <x:c r="M149" s="46"/>
      <x:c r="N149" s="46"/>
      <x:c r="O149" s="46"/>
      <x:c r="P149" s="46"/>
    </x:row>
    <x:row r="150">
      <x:c r="K150" s="42"/>
      <x:c r="L150" s="42"/>
      <x:c r="M150" s="46"/>
      <x:c r="N150" s="46"/>
      <x:c r="O150" s="46"/>
      <x:c r="P150" s="46"/>
    </x:row>
    <x:row r="151">
      <x:c r="K151" s="42"/>
      <x:c r="L151" s="42"/>
      <x:c r="M151" s="46"/>
      <x:c r="N151" s="46"/>
      <x:c r="O151" s="46"/>
      <x:c r="P151" s="46"/>
    </x:row>
    <x:row r="152">
      <x:c r="K152" s="42"/>
      <x:c r="L152" s="42"/>
      <x:c r="M152" s="46"/>
      <x:c r="N152" s="46"/>
      <x:c r="O152" s="46"/>
      <x:c r="P152" s="46"/>
    </x:row>
    <x:row r="153">
      <x:c r="K153" s="42"/>
      <x:c r="L153" s="42"/>
      <x:c r="M153" s="46"/>
      <x:c r="N153" s="46"/>
      <x:c r="O153" s="46"/>
      <x:c r="P153" s="46"/>
    </x:row>
    <x:row r="154">
      <x:c r="K154" s="42"/>
      <x:c r="L154" s="42"/>
      <x:c r="M154" s="46"/>
      <x:c r="N154" s="46"/>
      <x:c r="O154" s="46"/>
      <x:c r="P154" s="46"/>
    </x:row>
    <x:row r="155">
      <x:c r="K155" s="42"/>
      <x:c r="L155" s="42"/>
      <x:c r="M155" s="46"/>
      <x:c r="N155" s="46"/>
      <x:c r="O155" s="46"/>
      <x:c r="P155" s="46"/>
    </x:row>
    <x:row r="156">
      <x:c r="K156" s="42"/>
      <x:c r="L156" s="42"/>
      <x:c r="M156" s="46"/>
      <x:c r="N156" s="46"/>
      <x:c r="O156" s="46"/>
      <x:c r="P156" s="46"/>
    </x:row>
    <x:row r="157">
      <x:c r="K157" s="42"/>
      <x:c r="L157" s="42"/>
      <x:c r="M157" s="46"/>
      <x:c r="N157" s="46"/>
      <x:c r="O157" s="46"/>
      <x:c r="P157" s="46"/>
    </x:row>
    <x:row r="158">
      <x:c r="K158" s="42"/>
      <x:c r="L158" s="42"/>
      <x:c r="M158" s="46"/>
      <x:c r="N158" s="46"/>
      <x:c r="O158" s="46"/>
      <x:c r="P158" s="46"/>
    </x:row>
    <x:row r="159">
      <x:c r="K159" s="42"/>
      <x:c r="L159" s="42"/>
      <x:c r="M159" s="46"/>
      <x:c r="N159" s="46"/>
      <x:c r="O159" s="46"/>
      <x:c r="P159" s="46"/>
    </x:row>
    <x:row r="160">
      <x:c r="K160" s="42"/>
      <x:c r="L160" s="42"/>
      <x:c r="M160" s="46"/>
      <x:c r="N160" s="46"/>
      <x:c r="O160" s="46"/>
      <x:c r="P160" s="46"/>
    </x:row>
    <x:row r="161">
      <x:c r="K161" s="42"/>
      <x:c r="L161" s="42"/>
      <x:c r="M161" s="46"/>
      <x:c r="N161" s="46"/>
      <x:c r="O161" s="46"/>
      <x:c r="P161" s="46"/>
    </x:row>
    <x:row r="162">
      <x:c r="K162" s="42"/>
      <x:c r="L162" s="42"/>
      <x:c r="M162" s="46"/>
      <x:c r="N162" s="46"/>
      <x:c r="O162" s="46"/>
      <x:c r="P162" s="46"/>
    </x:row>
    <x:row r="163">
      <x:c r="K163" s="42"/>
      <x:c r="L163" s="42"/>
      <x:c r="M163" s="46"/>
      <x:c r="N163" s="46"/>
      <x:c r="O163" s="46"/>
      <x:c r="P163" s="46"/>
    </x:row>
    <x:row r="164">
      <x:c r="K164" s="42"/>
      <x:c r="L164" s="42"/>
      <x:c r="M164" s="46"/>
      <x:c r="N164" s="46"/>
      <x:c r="O164" s="46"/>
      <x:c r="P164" s="46"/>
    </x:row>
    <x:row r="165">
      <x:c r="K165" s="42"/>
      <x:c r="L165" s="42"/>
      <x:c r="M165" s="46"/>
      <x:c r="N165" s="46"/>
      <x:c r="O165" s="46"/>
      <x:c r="P165" s="46"/>
    </x:row>
    <x:row r="166">
      <x:c r="K166" s="42"/>
      <x:c r="L166" s="42"/>
      <x:c r="M166" s="46"/>
      <x:c r="N166" s="46"/>
      <x:c r="O166" s="46"/>
      <x:c r="P166" s="46"/>
    </x:row>
    <x:row r="167">
      <x:c r="K167" s="42"/>
      <x:c r="L167" s="42"/>
      <x:c r="M167" s="46"/>
      <x:c r="N167" s="46"/>
      <x:c r="O167" s="46"/>
      <x:c r="P167" s="46"/>
    </x:row>
    <x:row r="168">
      <x:c r="K168" s="42"/>
      <x:c r="L168" s="42"/>
      <x:c r="M168" s="46"/>
      <x:c r="N168" s="46"/>
      <x:c r="O168" s="46"/>
      <x:c r="P168" s="46"/>
    </x:row>
    <x:row r="169">
      <x:c r="K169" s="42"/>
      <x:c r="L169" s="42"/>
      <x:c r="M169" s="46"/>
      <x:c r="N169" s="46"/>
      <x:c r="O169" s="46"/>
      <x:c r="P169" s="46"/>
    </x:row>
    <x:row r="170">
      <x:c r="K170" s="42"/>
      <x:c r="L170" s="42"/>
      <x:c r="M170" s="46"/>
      <x:c r="N170" s="46"/>
      <x:c r="O170" s="46"/>
      <x:c r="P170" s="46"/>
    </x:row>
    <x:row r="171">
      <x:c r="K171" s="42"/>
      <x:c r="L171" s="42"/>
      <x:c r="M171" s="46"/>
      <x:c r="N171" s="46"/>
      <x:c r="O171" s="46"/>
      <x:c r="P171" s="46"/>
    </x:row>
    <x:row r="172">
      <x:c r="K172" s="42"/>
      <x:c r="L172" s="42"/>
      <x:c r="M172" s="46"/>
      <x:c r="N172" s="46"/>
      <x:c r="O172" s="46"/>
      <x:c r="P172" s="46"/>
    </x:row>
    <x:row r="173">
      <x:c r="K173" s="42"/>
      <x:c r="L173" s="42"/>
      <x:c r="M173" s="46"/>
      <x:c r="N173" s="46"/>
      <x:c r="O173" s="46"/>
      <x:c r="P173" s="46"/>
    </x:row>
    <x:row r="174">
      <x:c r="K174" s="42"/>
      <x:c r="L174" s="42"/>
      <x:c r="M174" s="46"/>
      <x:c r="N174" s="46"/>
      <x:c r="O174" s="46"/>
      <x:c r="P174" s="46"/>
    </x:row>
    <x:row r="175">
      <x:c r="K175" s="42"/>
      <x:c r="L175" s="42"/>
      <x:c r="M175" s="46"/>
      <x:c r="N175" s="46"/>
      <x:c r="O175" s="46"/>
      <x:c r="P175" s="46"/>
    </x:row>
    <x:row r="176">
      <x:c r="K176" s="42"/>
      <x:c r="L176" s="42"/>
      <x:c r="M176" s="46"/>
      <x:c r="N176" s="46"/>
      <x:c r="O176" s="46"/>
      <x:c r="P176" s="46"/>
    </x:row>
    <x:row r="177">
      <x:c r="K177" s="42"/>
      <x:c r="L177" s="42"/>
      <x:c r="M177" s="46"/>
      <x:c r="N177" s="46"/>
      <x:c r="O177" s="46"/>
      <x:c r="P177" s="46"/>
    </x:row>
    <x:row r="178">
      <x:c r="K178" s="42"/>
      <x:c r="L178" s="42"/>
      <x:c r="M178" s="46"/>
      <x:c r="N178" s="46"/>
      <x:c r="O178" s="46"/>
      <x:c r="P178" s="46"/>
    </x:row>
    <x:row r="179">
      <x:c r="K179" s="42"/>
      <x:c r="L179" s="42"/>
      <x:c r="M179" s="46"/>
      <x:c r="N179" s="46"/>
      <x:c r="O179" s="46"/>
      <x:c r="P179" s="46"/>
    </x:row>
    <x:row r="180">
      <x:c r="K180" s="42"/>
      <x:c r="L180" s="42"/>
      <x:c r="M180" s="46"/>
      <x:c r="N180" s="46"/>
      <x:c r="O180" s="46"/>
      <x:c r="P180" s="46"/>
    </x:row>
    <x:row r="181">
      <x:c r="K181" s="42"/>
      <x:c r="L181" s="42"/>
      <x:c r="M181" s="46"/>
      <x:c r="N181" s="46"/>
      <x:c r="O181" s="46"/>
      <x:c r="P181" s="46"/>
    </x:row>
    <x:row r="182">
      <x:c r="K182" s="42"/>
      <x:c r="L182" s="42"/>
      <x:c r="M182" s="46"/>
      <x:c r="N182" s="46"/>
      <x:c r="O182" s="46"/>
      <x:c r="P182" s="46"/>
    </x:row>
    <x:row r="183">
      <x:c r="K183" s="42"/>
      <x:c r="L183" s="42"/>
      <x:c r="M183" s="46"/>
      <x:c r="N183" s="46"/>
      <x:c r="O183" s="46"/>
      <x:c r="P183" s="46"/>
    </x:row>
    <x:row r="184">
      <x:c r="K184" s="42"/>
      <x:c r="L184" s="42"/>
      <x:c r="M184" s="46"/>
      <x:c r="N184" s="46"/>
      <x:c r="O184" s="46"/>
      <x:c r="P184" s="46"/>
    </x:row>
    <x:row r="185">
      <x:c r="K185" s="42"/>
      <x:c r="L185" s="42"/>
      <x:c r="M185" s="46"/>
      <x:c r="N185" s="46"/>
      <x:c r="O185" s="46"/>
      <x:c r="P185" s="46"/>
    </x:row>
    <x:row r="186">
      <x:c r="K186" s="42"/>
      <x:c r="L186" s="42"/>
      <x:c r="M186" s="46"/>
      <x:c r="N186" s="46"/>
      <x:c r="O186" s="46"/>
      <x:c r="P186" s="46"/>
    </x:row>
    <x:row r="187">
      <x:c r="K187" s="42"/>
      <x:c r="L187" s="42"/>
      <x:c r="M187" s="46"/>
      <x:c r="N187" s="46"/>
      <x:c r="O187" s="46"/>
      <x:c r="P187" s="46"/>
    </x:row>
    <x:row r="188">
      <x:c r="K188" s="42"/>
      <x:c r="L188" s="42"/>
      <x:c r="M188" s="46"/>
      <x:c r="N188" s="46"/>
      <x:c r="O188" s="46"/>
      <x:c r="P188" s="46"/>
    </x:row>
    <x:row r="189">
      <x:c r="K189" s="42"/>
      <x:c r="L189" s="42"/>
      <x:c r="M189" s="46"/>
      <x:c r="N189" s="46"/>
      <x:c r="O189" s="46"/>
      <x:c r="P189" s="46"/>
    </x:row>
    <x:row r="190">
      <x:c r="K190" s="42"/>
      <x:c r="L190" s="42"/>
      <x:c r="M190" s="46"/>
      <x:c r="N190" s="46"/>
      <x:c r="O190" s="46"/>
      <x:c r="P190" s="46"/>
    </x:row>
    <x:row r="191">
      <x:c r="K191" s="42"/>
      <x:c r="L191" s="42"/>
      <x:c r="M191" s="46"/>
      <x:c r="N191" s="46"/>
      <x:c r="O191" s="46"/>
      <x:c r="P191" s="46"/>
    </x:row>
    <x:row r="192">
      <x:c r="K192" s="42"/>
      <x:c r="L192" s="42"/>
      <x:c r="M192" s="46"/>
      <x:c r="N192" s="46"/>
      <x:c r="O192" s="46"/>
      <x:c r="P192" s="46"/>
    </x:row>
    <x:row r="193">
      <x:c r="K193" s="42"/>
      <x:c r="L193" s="42"/>
      <x:c r="M193" s="46"/>
      <x:c r="N193" s="46"/>
      <x:c r="O193" s="46"/>
      <x:c r="P193" s="46"/>
    </x:row>
    <x:row r="194">
      <x:c r="K194" s="42"/>
      <x:c r="L194" s="42"/>
      <x:c r="M194" s="46"/>
      <x:c r="N194" s="46"/>
      <x:c r="O194" s="46"/>
      <x:c r="P194" s="46"/>
    </x:row>
    <x:row r="195">
      <x:c r="K195" s="42"/>
      <x:c r="L195" s="42"/>
      <x:c r="M195" s="46"/>
      <x:c r="N195" s="46"/>
      <x:c r="O195" s="46"/>
      <x:c r="P195" s="46"/>
    </x:row>
    <x:row r="196">
      <x:c r="K196" s="42"/>
      <x:c r="L196" s="42"/>
      <x:c r="M196" s="46"/>
      <x:c r="N196" s="46"/>
      <x:c r="O196" s="46"/>
      <x:c r="P196" s="46"/>
    </x:row>
    <x:row r="197">
      <x:c r="K197" s="42"/>
      <x:c r="L197" s="42"/>
      <x:c r="M197" s="46"/>
      <x:c r="N197" s="46"/>
      <x:c r="O197" s="46"/>
      <x:c r="P197" s="46"/>
    </x:row>
    <x:row r="198">
      <x:c r="K198" s="42"/>
      <x:c r="L198" s="42"/>
      <x:c r="M198" s="46"/>
      <x:c r="N198" s="46"/>
      <x:c r="O198" s="46"/>
      <x:c r="P198" s="46"/>
    </x:row>
    <x:row r="199">
      <x:c r="K199" s="42"/>
      <x:c r="L199" s="42"/>
      <x:c r="M199" s="46"/>
      <x:c r="N199" s="46"/>
      <x:c r="O199" s="46"/>
      <x:c r="P199" s="46"/>
    </x:row>
    <x:row r="200">
      <x:c r="K200" s="42"/>
      <x:c r="L200" s="42"/>
      <x:c r="M200" s="46"/>
      <x:c r="N200" s="46"/>
      <x:c r="O200" s="46"/>
      <x:c r="P200" s="46"/>
    </x:row>
    <x:row r="201">
      <x:c r="K201" s="42"/>
      <x:c r="L201" s="42"/>
      <x:c r="M201" s="46"/>
      <x:c r="N201" s="46"/>
      <x:c r="O201" s="46"/>
      <x:c r="P201" s="46"/>
    </x:row>
    <x:row r="202">
      <x:c r="K202" s="42"/>
      <x:c r="L202" s="42"/>
      <x:c r="M202" s="46"/>
      <x:c r="N202" s="46"/>
      <x:c r="O202" s="46"/>
      <x:c r="P202" s="46"/>
    </x:row>
    <x:row r="203">
      <x:c r="K203" s="42"/>
      <x:c r="L203" s="42"/>
      <x:c r="M203" s="46"/>
      <x:c r="N203" s="46"/>
      <x:c r="O203" s="46"/>
      <x:c r="P203" s="46"/>
    </x:row>
    <x:row r="204">
      <x:c r="K204" s="42"/>
      <x:c r="L204" s="42"/>
      <x:c r="M204" s="46"/>
      <x:c r="N204" s="46"/>
      <x:c r="O204" s="46"/>
      <x:c r="P204" s="46"/>
    </x:row>
    <x:row r="205">
      <x:c r="K205" s="42"/>
      <x:c r="L205" s="42"/>
      <x:c r="M205" s="46"/>
      <x:c r="N205" s="46"/>
      <x:c r="O205" s="46"/>
      <x:c r="P205" s="46"/>
    </x:row>
    <x:row r="206">
      <x:c r="K206" s="42"/>
      <x:c r="L206" s="42"/>
      <x:c r="M206" s="46"/>
      <x:c r="N206" s="46"/>
      <x:c r="O206" s="46"/>
      <x:c r="P206" s="46"/>
    </x:row>
    <x:row r="207">
      <x:c r="K207" s="42"/>
      <x:c r="L207" s="42"/>
      <x:c r="M207" s="46"/>
      <x:c r="N207" s="46"/>
      <x:c r="O207" s="46"/>
      <x:c r="P207" s="46"/>
    </x:row>
    <x:row r="208">
      <x:c r="K208" s="42"/>
      <x:c r="L208" s="42"/>
      <x:c r="M208" s="46"/>
      <x:c r="N208" s="46"/>
      <x:c r="O208" s="46"/>
      <x:c r="P208" s="46"/>
    </x:row>
    <x:row r="209">
      <x:c r="K209" s="42"/>
      <x:c r="L209" s="42"/>
      <x:c r="M209" s="46"/>
      <x:c r="N209" s="46"/>
      <x:c r="O209" s="46"/>
      <x:c r="P209" s="46"/>
    </x:row>
    <x:row r="210">
      <x:c r="K210" s="42"/>
      <x:c r="L210" s="42"/>
      <x:c r="M210" s="46"/>
      <x:c r="N210" s="46"/>
      <x:c r="O210" s="46"/>
      <x:c r="P210" s="46"/>
    </x:row>
    <x:row r="211">
      <x:c r="K211" s="42"/>
      <x:c r="L211" s="42"/>
      <x:c r="M211" s="46"/>
      <x:c r="N211" s="46"/>
      <x:c r="O211" s="46"/>
      <x:c r="P211" s="46"/>
    </x:row>
    <x:row r="212">
      <x:c r="K212" s="42"/>
      <x:c r="L212" s="42"/>
      <x:c r="M212" s="46"/>
      <x:c r="N212" s="46"/>
      <x:c r="O212" s="46"/>
      <x:c r="P212" s="46"/>
    </x:row>
    <x:row r="213">
      <x:c r="K213" s="42"/>
      <x:c r="L213" s="42"/>
      <x:c r="M213" s="46"/>
      <x:c r="N213" s="46"/>
      <x:c r="O213" s="46"/>
      <x:c r="P213" s="46"/>
    </x:row>
    <x:row r="214">
      <x:c r="K214" s="42"/>
      <x:c r="L214" s="42"/>
      <x:c r="M214" s="46"/>
      <x:c r="N214" s="46"/>
      <x:c r="O214" s="46"/>
      <x:c r="P214" s="46"/>
    </x:row>
    <x:row r="215">
      <x:c r="K215" s="42"/>
      <x:c r="L215" s="42"/>
      <x:c r="M215" s="46"/>
      <x:c r="N215" s="46"/>
      <x:c r="O215" s="46"/>
      <x:c r="P215" s="46"/>
    </x:row>
    <x:row r="216">
      <x:c r="K216" s="42"/>
      <x:c r="L216" s="42"/>
      <x:c r="M216" s="46"/>
      <x:c r="N216" s="46"/>
      <x:c r="O216" s="46"/>
      <x:c r="P216" s="46"/>
    </x:row>
    <x:row r="217">
      <x:c r="K217" s="42"/>
      <x:c r="L217" s="42"/>
      <x:c r="M217" s="46"/>
      <x:c r="N217" s="46"/>
      <x:c r="O217" s="46"/>
      <x:c r="P217" s="46"/>
    </x:row>
    <x:row r="218">
      <x:c r="K218" s="42"/>
      <x:c r="L218" s="42"/>
      <x:c r="M218" s="46"/>
      <x:c r="N218" s="46"/>
      <x:c r="O218" s="46"/>
      <x:c r="P218" s="46"/>
    </x:row>
    <x:row r="219">
      <x:c r="K219" s="42"/>
      <x:c r="L219" s="42"/>
      <x:c r="M219" s="46"/>
      <x:c r="N219" s="46"/>
      <x:c r="O219" s="46"/>
      <x:c r="P219" s="46"/>
    </x:row>
    <x:row r="220">
      <x:c r="K220" s="42"/>
      <x:c r="L220" s="42"/>
      <x:c r="M220" s="46"/>
      <x:c r="N220" s="46"/>
      <x:c r="O220" s="46"/>
      <x:c r="P220" s="46"/>
    </x:row>
    <x:row r="221">
      <x:c r="K221" s="42"/>
      <x:c r="L221" s="42"/>
      <x:c r="M221" s="46"/>
      <x:c r="N221" s="46"/>
      <x:c r="O221" s="46"/>
      <x:c r="P221" s="46"/>
    </x:row>
    <x:row r="222">
      <x:c r="K222" s="42"/>
      <x:c r="L222" s="42"/>
      <x:c r="M222" s="46"/>
      <x:c r="N222" s="46"/>
      <x:c r="O222" s="46"/>
      <x:c r="P222" s="46"/>
    </x:row>
    <x:row r="223">
      <x:c r="K223" s="42"/>
      <x:c r="L223" s="42"/>
      <x:c r="M223" s="46"/>
      <x:c r="N223" s="46"/>
      <x:c r="O223" s="46"/>
      <x:c r="P223" s="46"/>
    </x:row>
    <x:row r="224">
      <x:c r="K224" s="42"/>
      <x:c r="L224" s="42"/>
      <x:c r="M224" s="46"/>
      <x:c r="N224" s="46"/>
      <x:c r="O224" s="46"/>
      <x:c r="P224" s="46"/>
    </x:row>
    <x:row r="225">
      <x:c r="K225" s="42"/>
      <x:c r="L225" s="42"/>
      <x:c r="M225" s="46"/>
      <x:c r="N225" s="46"/>
      <x:c r="O225" s="46"/>
      <x:c r="P225" s="46"/>
    </x:row>
    <x:row r="226">
      <x:c r="K226" s="42"/>
      <x:c r="L226" s="42"/>
      <x:c r="M226" s="46"/>
      <x:c r="N226" s="46"/>
      <x:c r="O226" s="46"/>
      <x:c r="P226" s="46"/>
    </x:row>
    <x:row r="227">
      <x:c r="K227" s="42"/>
      <x:c r="L227" s="42"/>
      <x:c r="M227" s="46"/>
      <x:c r="N227" s="46"/>
      <x:c r="O227" s="46"/>
      <x:c r="P227" s="46"/>
    </x:row>
    <x:row r="228">
      <x:c r="K228" s="42"/>
      <x:c r="L228" s="42"/>
      <x:c r="M228" s="46"/>
      <x:c r="N228" s="46"/>
      <x:c r="O228" s="46"/>
      <x:c r="P228" s="46"/>
    </x:row>
    <x:row r="229">
      <x:c r="K229" s="42"/>
      <x:c r="L229" s="42"/>
      <x:c r="M229" s="46"/>
      <x:c r="N229" s="46"/>
      <x:c r="O229" s="46"/>
      <x:c r="P229" s="46"/>
    </x:row>
    <x:row r="230">
      <x:c r="K230" s="42"/>
      <x:c r="L230" s="42"/>
      <x:c r="M230" s="46"/>
      <x:c r="N230" s="46"/>
      <x:c r="O230" s="46"/>
      <x:c r="P230" s="46"/>
    </x:row>
    <x:row r="231">
      <x:c r="K231" s="42"/>
      <x:c r="L231" s="42"/>
      <x:c r="M231" s="46"/>
      <x:c r="N231" s="46"/>
      <x:c r="O231" s="46"/>
      <x:c r="P231" s="46"/>
    </x:row>
    <x:row r="232">
      <x:c r="K232" s="42"/>
      <x:c r="L232" s="42"/>
      <x:c r="M232" s="46"/>
      <x:c r="N232" s="46"/>
      <x:c r="O232" s="46"/>
      <x:c r="P232" s="46"/>
    </x:row>
    <x:row r="233">
      <x:c r="K233" s="42"/>
      <x:c r="L233" s="42"/>
      <x:c r="M233" s="46"/>
      <x:c r="N233" s="46"/>
      <x:c r="O233" s="46"/>
      <x:c r="P233" s="46"/>
    </x:row>
    <x:row r="234">
      <x:c r="K234" s="42"/>
      <x:c r="L234" s="42"/>
      <x:c r="M234" s="46"/>
      <x:c r="N234" s="46"/>
      <x:c r="O234" s="46"/>
      <x:c r="P234" s="46"/>
    </x:row>
    <x:row r="235">
      <x:c r="K235" s="42"/>
      <x:c r="L235" s="42"/>
      <x:c r="M235" s="46"/>
      <x:c r="N235" s="46"/>
      <x:c r="O235" s="46"/>
      <x:c r="P235" s="46"/>
    </x:row>
    <x:row r="236">
      <x:c r="K236" s="42"/>
      <x:c r="L236" s="42"/>
      <x:c r="M236" s="46"/>
      <x:c r="N236" s="46"/>
      <x:c r="O236" s="46"/>
      <x:c r="P236" s="46"/>
    </x:row>
    <x:row r="237">
      <x:c r="K237" s="42"/>
      <x:c r="L237" s="42"/>
      <x:c r="M237" s="46"/>
      <x:c r="N237" s="46"/>
      <x:c r="O237" s="46"/>
      <x:c r="P237" s="46"/>
    </x:row>
    <x:row r="238">
      <x:c r="K238" s="42"/>
      <x:c r="L238" s="42"/>
      <x:c r="M238" s="46"/>
      <x:c r="N238" s="46"/>
      <x:c r="O238" s="46"/>
      <x:c r="P238" s="46"/>
    </x:row>
    <x:row r="239">
      <x:c r="K239" s="42"/>
      <x:c r="L239" s="42"/>
      <x:c r="M239" s="46"/>
      <x:c r="N239" s="46"/>
      <x:c r="O239" s="46"/>
      <x:c r="P239" s="46"/>
    </x:row>
    <x:row r="240">
      <x:c r="K240" s="42"/>
      <x:c r="L240" s="42"/>
      <x:c r="M240" s="46"/>
      <x:c r="N240" s="46"/>
      <x:c r="O240" s="46"/>
      <x:c r="P240" s="46"/>
    </x:row>
    <x:row r="241">
      <x:c r="K241" s="42"/>
      <x:c r="L241" s="42"/>
      <x:c r="M241" s="46"/>
      <x:c r="N241" s="46"/>
      <x:c r="O241" s="46"/>
      <x:c r="P241" s="46"/>
    </x:row>
    <x:row r="242">
      <x:c r="K242" s="42"/>
      <x:c r="L242" s="42"/>
      <x:c r="M242" s="46"/>
      <x:c r="N242" s="46"/>
      <x:c r="O242" s="46"/>
      <x:c r="P242" s="46"/>
    </x:row>
    <x:row r="243">
      <x:c r="K243" s="42"/>
      <x:c r="L243" s="42"/>
      <x:c r="M243" s="46"/>
      <x:c r="N243" s="46"/>
      <x:c r="O243" s="46"/>
      <x:c r="P243" s="46"/>
    </x:row>
    <x:row r="244">
      <x:c r="K244" s="42"/>
      <x:c r="L244" s="42"/>
      <x:c r="M244" s="46"/>
      <x:c r="N244" s="46"/>
      <x:c r="O244" s="46"/>
      <x:c r="P244" s="46"/>
    </x:row>
    <x:row r="245">
      <x:c r="K245" s="42"/>
      <x:c r="L245" s="42"/>
      <x:c r="M245" s="46"/>
      <x:c r="N245" s="46"/>
      <x:c r="O245" s="46"/>
      <x:c r="P245" s="46"/>
    </x:row>
    <x:row r="246">
      <x:c r="K246" s="42"/>
      <x:c r="L246" s="42"/>
      <x:c r="M246" s="46"/>
      <x:c r="N246" s="46"/>
      <x:c r="O246" s="46"/>
      <x:c r="P246" s="46"/>
    </x:row>
    <x:row r="247">
      <x:c r="K247" s="42"/>
      <x:c r="L247" s="42"/>
      <x:c r="M247" s="46"/>
      <x:c r="N247" s="46"/>
      <x:c r="O247" s="46"/>
      <x:c r="P247" s="46"/>
    </x:row>
    <x:row r="248">
      <x:c r="K248" s="42"/>
      <x:c r="L248" s="42"/>
      <x:c r="M248" s="46"/>
      <x:c r="N248" s="46"/>
      <x:c r="O248" s="46"/>
      <x:c r="P248" s="46"/>
    </x:row>
    <x:row r="249">
      <x:c r="K249" s="42"/>
      <x:c r="L249" s="42"/>
      <x:c r="M249" s="46"/>
      <x:c r="N249" s="46"/>
      <x:c r="O249" s="46"/>
      <x:c r="P249" s="46"/>
    </x:row>
    <x:row r="250">
      <x:c r="K250" s="42"/>
      <x:c r="L250" s="42"/>
      <x:c r="M250" s="46"/>
      <x:c r="N250" s="46"/>
      <x:c r="O250" s="46"/>
      <x:c r="P250" s="46"/>
    </x:row>
    <x:row r="251">
      <x:c r="K251" s="42"/>
      <x:c r="L251" s="42"/>
      <x:c r="M251" s="46"/>
      <x:c r="N251" s="46"/>
      <x:c r="O251" s="46"/>
      <x:c r="P251" s="46"/>
    </x:row>
    <x:row r="252">
      <x:c r="K252" s="42"/>
      <x:c r="L252" s="42"/>
      <x:c r="M252" s="46"/>
      <x:c r="N252" s="46"/>
      <x:c r="O252" s="46"/>
      <x:c r="P252" s="46"/>
    </x:row>
    <x:row r="253">
      <x:c r="K253" s="42"/>
      <x:c r="L253" s="42"/>
      <x:c r="M253" s="46"/>
      <x:c r="N253" s="46"/>
      <x:c r="O253" s="46"/>
      <x:c r="P253" s="46"/>
    </x:row>
    <x:row r="254">
      <x:c r="K254" s="42"/>
      <x:c r="L254" s="42"/>
      <x:c r="M254" s="46"/>
      <x:c r="N254" s="46"/>
      <x:c r="O254" s="46"/>
      <x:c r="P254" s="46"/>
    </x:row>
    <x:row r="255">
      <x:c r="K255" s="42"/>
      <x:c r="L255" s="42"/>
      <x:c r="M255" s="46"/>
      <x:c r="N255" s="46"/>
      <x:c r="O255" s="46"/>
      <x:c r="P255" s="46"/>
    </x:row>
    <x:row r="256">
      <x:c r="K256" s="42"/>
      <x:c r="L256" s="42"/>
      <x:c r="M256" s="46"/>
      <x:c r="N256" s="46"/>
      <x:c r="O256" s="46"/>
      <x:c r="P256" s="46"/>
    </x:row>
    <x:row r="257">
      <x:c r="K257" s="42"/>
      <x:c r="L257" s="42"/>
      <x:c r="M257" s="46"/>
      <x:c r="N257" s="46"/>
      <x:c r="O257" s="46"/>
      <x:c r="P257" s="46"/>
    </x:row>
    <x:row r="258">
      <x:c r="K258" s="42"/>
      <x:c r="L258" s="42"/>
      <x:c r="M258" s="46"/>
      <x:c r="N258" s="46"/>
      <x:c r="O258" s="46"/>
      <x:c r="P258" s="46"/>
    </x:row>
    <x:row r="259">
      <x:c r="K259" s="42"/>
      <x:c r="L259" s="42"/>
      <x:c r="M259" s="46"/>
      <x:c r="N259" s="46"/>
      <x:c r="O259" s="46"/>
      <x:c r="P259" s="46"/>
    </x:row>
    <x:row r="260">
      <x:c r="K260" s="42"/>
      <x:c r="L260" s="42"/>
      <x:c r="M260" s="46"/>
      <x:c r="N260" s="46"/>
      <x:c r="O260" s="46"/>
      <x:c r="P260" s="46"/>
    </x:row>
    <x:row r="261">
      <x:c r="K261" s="42"/>
      <x:c r="L261" s="42"/>
      <x:c r="M261" s="46"/>
      <x:c r="N261" s="46"/>
      <x:c r="O261" s="46"/>
      <x:c r="P261" s="46"/>
    </x:row>
    <x:row r="262">
      <x:c r="K262" s="42"/>
      <x:c r="L262" s="42"/>
      <x:c r="M262" s="46"/>
      <x:c r="N262" s="46"/>
      <x:c r="O262" s="46"/>
      <x:c r="P262" s="46"/>
    </x:row>
    <x:row r="263">
      <x:c r="K263" s="42"/>
      <x:c r="L263" s="42"/>
      <x:c r="M263" s="46"/>
      <x:c r="N263" s="46"/>
      <x:c r="O263" s="46"/>
      <x:c r="P263" s="46"/>
    </x:row>
    <x:row r="264">
      <x:c r="K264" s="42"/>
      <x:c r="L264" s="42"/>
      <x:c r="M264" s="46"/>
      <x:c r="N264" s="46"/>
      <x:c r="O264" s="46"/>
      <x:c r="P264" s="46"/>
    </x:row>
    <x:row r="265">
      <x:c r="K265" s="42"/>
      <x:c r="L265" s="42"/>
      <x:c r="M265" s="46"/>
      <x:c r="N265" s="46"/>
      <x:c r="O265" s="46"/>
      <x:c r="P265" s="46"/>
    </x:row>
    <x:row r="266">
      <x:c r="K266" s="42"/>
      <x:c r="L266" s="42"/>
      <x:c r="M266" s="46"/>
      <x:c r="N266" s="46"/>
      <x:c r="O266" s="46"/>
      <x:c r="P266" s="46"/>
    </x:row>
    <x:row r="267">
      <x:c r="K267" s="42"/>
      <x:c r="L267" s="42"/>
      <x:c r="M267" s="46"/>
      <x:c r="N267" s="46"/>
      <x:c r="O267" s="46"/>
      <x:c r="P267" s="46"/>
    </x:row>
    <x:row r="268">
      <x:c r="K268" s="42"/>
      <x:c r="L268" s="42"/>
      <x:c r="M268" s="46"/>
      <x:c r="N268" s="46"/>
      <x:c r="O268" s="46"/>
      <x:c r="P268" s="46"/>
    </x:row>
    <x:row r="269">
      <x:c r="K269" s="42"/>
      <x:c r="L269" s="42"/>
      <x:c r="M269" s="46"/>
      <x:c r="N269" s="46"/>
      <x:c r="O269" s="46"/>
      <x:c r="P269" s="46"/>
    </x:row>
    <x:row r="270">
      <x:c r="K270" s="42"/>
      <x:c r="L270" s="42"/>
      <x:c r="M270" s="46"/>
      <x:c r="N270" s="46"/>
      <x:c r="O270" s="46"/>
      <x:c r="P270" s="46"/>
    </x:row>
    <x:row r="271">
      <x:c r="K271" s="42"/>
      <x:c r="L271" s="42"/>
      <x:c r="M271" s="46"/>
      <x:c r="N271" s="46"/>
      <x:c r="O271" s="46"/>
      <x:c r="P271" s="46"/>
    </x:row>
    <x:row r="272">
      <x:c r="K272" s="42"/>
      <x:c r="L272" s="42"/>
      <x:c r="M272" s="46"/>
      <x:c r="N272" s="46"/>
      <x:c r="O272" s="46"/>
      <x:c r="P272" s="46"/>
    </x:row>
    <x:row r="273">
      <x:c r="K273" s="42"/>
      <x:c r="L273" s="42"/>
      <x:c r="M273" s="46"/>
      <x:c r="N273" s="46"/>
      <x:c r="O273" s="46"/>
      <x:c r="P273" s="46"/>
    </x:row>
    <x:row r="274">
      <x:c r="K274" s="42"/>
      <x:c r="L274" s="42"/>
      <x:c r="M274" s="46"/>
      <x:c r="N274" s="46"/>
      <x:c r="O274" s="46"/>
      <x:c r="P274" s="46"/>
    </x:row>
    <x:row r="275">
      <x:c r="K275" s="42"/>
      <x:c r="L275" s="42"/>
      <x:c r="M275" s="46"/>
      <x:c r="N275" s="46"/>
      <x:c r="O275" s="46"/>
      <x:c r="P275" s="46"/>
    </x:row>
    <x:row r="276">
      <x:c r="K276" s="42"/>
      <x:c r="L276" s="42"/>
      <x:c r="M276" s="46"/>
      <x:c r="N276" s="46"/>
      <x:c r="O276" s="46"/>
      <x:c r="P276" s="46"/>
    </x:row>
    <x:row r="277">
      <x:c r="K277" s="42"/>
      <x:c r="L277" s="42"/>
      <x:c r="M277" s="46"/>
      <x:c r="N277" s="46"/>
      <x:c r="O277" s="46"/>
      <x:c r="P277" s="46"/>
    </x:row>
    <x:row r="278">
      <x:c r="K278" s="42"/>
      <x:c r="L278" s="42"/>
      <x:c r="M278" s="46"/>
      <x:c r="N278" s="46"/>
      <x:c r="O278" s="46"/>
      <x:c r="P278" s="46"/>
    </x:row>
    <x:row r="279">
      <x:c r="K279" s="42"/>
      <x:c r="L279" s="42"/>
      <x:c r="M279" s="46"/>
      <x:c r="N279" s="46"/>
      <x:c r="O279" s="46"/>
      <x:c r="P279" s="46"/>
    </x:row>
    <x:row r="280">
      <x:c r="K280" s="42"/>
      <x:c r="L280" s="42"/>
      <x:c r="M280" s="46"/>
      <x:c r="N280" s="46"/>
      <x:c r="O280" s="46"/>
      <x:c r="P280" s="46"/>
    </x:row>
    <x:row r="281">
      <x:c r="K281" s="42"/>
      <x:c r="L281" s="42"/>
      <x:c r="M281" s="46"/>
      <x:c r="N281" s="46"/>
      <x:c r="O281" s="46"/>
      <x:c r="P281" s="46"/>
    </x:row>
    <x:row r="282">
      <x:c r="K282" s="42"/>
      <x:c r="L282" s="42"/>
      <x:c r="M282" s="46"/>
      <x:c r="N282" s="46"/>
      <x:c r="O282" s="46"/>
      <x:c r="P282" s="46"/>
    </x:row>
    <x:row r="283">
      <x:c r="K283" s="42"/>
      <x:c r="L283" s="42"/>
      <x:c r="M283" s="46"/>
      <x:c r="N283" s="46"/>
      <x:c r="O283" s="46"/>
      <x:c r="P283" s="46"/>
    </x:row>
    <x:row r="284">
      <x:c r="K284" s="42"/>
      <x:c r="L284" s="42"/>
      <x:c r="M284" s="46"/>
      <x:c r="N284" s="46"/>
      <x:c r="O284" s="46"/>
      <x:c r="P284" s="46"/>
    </x:row>
    <x:row r="285">
      <x:c r="K285" s="42"/>
      <x:c r="L285" s="42"/>
      <x:c r="M285" s="46"/>
      <x:c r="N285" s="46"/>
      <x:c r="O285" s="46"/>
      <x:c r="P285" s="46"/>
    </x:row>
    <x:row r="286">
      <x:c r="K286" s="42"/>
      <x:c r="L286" s="42"/>
      <x:c r="M286" s="46"/>
      <x:c r="N286" s="46"/>
      <x:c r="O286" s="46"/>
      <x:c r="P286" s="46"/>
    </x:row>
    <x:row r="287">
      <x:c r="K287" s="42"/>
      <x:c r="L287" s="42"/>
      <x:c r="M287" s="46"/>
      <x:c r="N287" s="46"/>
      <x:c r="O287" s="46"/>
      <x:c r="P287" s="46"/>
    </x:row>
    <x:row r="288">
      <x:c r="K288" s="42"/>
      <x:c r="L288" s="42"/>
      <x:c r="M288" s="46"/>
      <x:c r="N288" s="46"/>
      <x:c r="O288" s="46"/>
      <x:c r="P288" s="46"/>
    </x:row>
    <x:row r="289">
      <x:c r="K289" s="42"/>
      <x:c r="L289" s="42"/>
      <x:c r="M289" s="46"/>
      <x:c r="N289" s="46"/>
      <x:c r="O289" s="46"/>
      <x:c r="P289" s="46"/>
    </x:row>
    <x:row r="290">
      <x:c r="K290" s="42"/>
      <x:c r="L290" s="42"/>
      <x:c r="M290" s="46"/>
      <x:c r="N290" s="46"/>
      <x:c r="O290" s="46"/>
      <x:c r="P290" s="46"/>
    </x:row>
    <x:row r="291">
      <x:c r="K291" s="42"/>
      <x:c r="L291" s="42"/>
      <x:c r="M291" s="46"/>
      <x:c r="N291" s="46"/>
      <x:c r="O291" s="46"/>
      <x:c r="P291" s="46"/>
    </x:row>
    <x:row r="292">
      <x:c r="K292" s="42"/>
      <x:c r="L292" s="42"/>
      <x:c r="M292" s="46"/>
      <x:c r="N292" s="46"/>
      <x:c r="O292" s="46"/>
      <x:c r="P292" s="46"/>
    </x:row>
    <x:row r="293">
      <x:c r="K293" s="42"/>
      <x:c r="L293" s="42"/>
      <x:c r="M293" s="46"/>
      <x:c r="N293" s="46"/>
      <x:c r="O293" s="46"/>
      <x:c r="P293" s="46"/>
    </x:row>
    <x:row r="294">
      <x:c r="K294" s="42"/>
      <x:c r="L294" s="42"/>
      <x:c r="M294" s="46"/>
      <x:c r="N294" s="46"/>
      <x:c r="O294" s="46"/>
      <x:c r="P294" s="46"/>
    </x:row>
    <x:row r="295">
      <x:c r="K295" s="42"/>
      <x:c r="L295" s="42"/>
      <x:c r="M295" s="46"/>
      <x:c r="N295" s="46"/>
      <x:c r="O295" s="46"/>
      <x:c r="P295" s="46"/>
    </x:row>
    <x:row r="296">
      <x:c r="K296" s="42"/>
      <x:c r="L296" s="42"/>
      <x:c r="M296" s="46"/>
      <x:c r="N296" s="46"/>
      <x:c r="O296" s="46"/>
      <x:c r="P296" s="46"/>
    </x:row>
    <x:row r="297">
      <x:c r="K297" s="42"/>
      <x:c r="L297" s="42"/>
      <x:c r="M297" s="46"/>
      <x:c r="N297" s="46"/>
      <x:c r="O297" s="46"/>
      <x:c r="P297" s="46"/>
    </x:row>
    <x:row r="298">
      <x:c r="K298" s="42"/>
      <x:c r="L298" s="42"/>
      <x:c r="M298" s="46"/>
      <x:c r="N298" s="46"/>
      <x:c r="O298" s="46"/>
      <x:c r="P298" s="46"/>
    </x:row>
    <x:row r="299">
      <x:c r="K299" s="42"/>
      <x:c r="L299" s="42"/>
      <x:c r="M299" s="46"/>
      <x:c r="N299" s="46"/>
      <x:c r="O299" s="46"/>
      <x:c r="P299" s="46"/>
    </x:row>
    <x:row r="300">
      <x:c r="K300" s="42"/>
      <x:c r="L300" s="42"/>
      <x:c r="M300" s="46"/>
      <x:c r="N300" s="46"/>
      <x:c r="O300" s="46"/>
      <x:c r="P300" s="46"/>
    </x:row>
    <x:row r="301">
      <x:c r="K301" s="42"/>
      <x:c r="L301" s="42"/>
      <x:c r="M301" s="46"/>
      <x:c r="N301" s="46"/>
      <x:c r="O301" s="46"/>
      <x:c r="P301" s="46"/>
    </x:row>
    <x:row r="302">
      <x:c r="K302" s="42"/>
      <x:c r="L302" s="42"/>
      <x:c r="M302" s="46"/>
      <x:c r="N302" s="46"/>
      <x:c r="O302" s="46"/>
      <x:c r="P302" s="46"/>
    </x:row>
    <x:row r="303">
      <x:c r="K303" s="42"/>
      <x:c r="L303" s="42"/>
      <x:c r="M303" s="46"/>
      <x:c r="N303" s="46"/>
      <x:c r="O303" s="46"/>
      <x:c r="P303" s="46"/>
    </x:row>
    <x:row r="304">
      <x:c r="K304" s="42"/>
      <x:c r="L304" s="42"/>
      <x:c r="M304" s="46"/>
      <x:c r="N304" s="46"/>
      <x:c r="O304" s="46"/>
      <x:c r="P304" s="46"/>
    </x:row>
    <x:row r="305">
      <x:c r="K305" s="42"/>
      <x:c r="L305" s="42"/>
      <x:c r="M305" s="46"/>
      <x:c r="N305" s="46"/>
      <x:c r="O305" s="46"/>
      <x:c r="P305" s="46"/>
    </x:row>
    <x:row r="306">
      <x:c r="K306" s="42"/>
      <x:c r="L306" s="42"/>
      <x:c r="M306" s="46"/>
      <x:c r="N306" s="46"/>
      <x:c r="O306" s="46"/>
      <x:c r="P306" s="46"/>
    </x:row>
    <x:row r="307">
      <x:c r="K307" s="42"/>
      <x:c r="L307" s="42"/>
      <x:c r="M307" s="46"/>
      <x:c r="N307" s="46"/>
      <x:c r="O307" s="46"/>
      <x:c r="P307" s="46"/>
    </x:row>
    <x:row r="308">
      <x:c r="K308" s="42"/>
      <x:c r="L308" s="42"/>
      <x:c r="M308" s="46"/>
      <x:c r="N308" s="46"/>
      <x:c r="O308" s="46"/>
      <x:c r="P308" s="46"/>
    </x:row>
    <x:row r="309">
      <x:c r="K309" s="42"/>
      <x:c r="L309" s="42"/>
      <x:c r="M309" s="46"/>
      <x:c r="N309" s="46"/>
      <x:c r="O309" s="46"/>
      <x:c r="P309" s="46"/>
    </x:row>
    <x:row r="310">
      <x:c r="K310" s="42"/>
      <x:c r="L310" s="42"/>
      <x:c r="M310" s="46"/>
      <x:c r="N310" s="46"/>
      <x:c r="O310" s="46"/>
      <x:c r="P310" s="46"/>
    </x:row>
    <x:row r="311">
      <x:c r="K311" s="42"/>
      <x:c r="L311" s="42"/>
      <x:c r="M311" s="46"/>
      <x:c r="N311" s="46"/>
      <x:c r="O311" s="46"/>
      <x:c r="P311" s="46"/>
    </x:row>
    <x:row r="312">
      <x:c r="K312" s="42"/>
      <x:c r="L312" s="42"/>
      <x:c r="M312" s="46"/>
      <x:c r="N312" s="46"/>
      <x:c r="O312" s="46"/>
      <x:c r="P312" s="46"/>
    </x:row>
    <x:row r="313">
      <x:c r="K313" s="42"/>
      <x:c r="L313" s="42"/>
      <x:c r="M313" s="46"/>
      <x:c r="N313" s="46"/>
      <x:c r="O313" s="46"/>
      <x:c r="P313" s="46"/>
    </x:row>
    <x:row r="314">
      <x:c r="K314" s="42"/>
      <x:c r="L314" s="42"/>
      <x:c r="M314" s="46"/>
      <x:c r="N314" s="46"/>
      <x:c r="O314" s="46"/>
      <x:c r="P314" s="46"/>
    </x:row>
    <x:row r="315">
      <x:c r="K315" s="42"/>
      <x:c r="L315" s="42"/>
      <x:c r="M315" s="46"/>
      <x:c r="N315" s="46"/>
      <x:c r="O315" s="46"/>
      <x:c r="P315" s="46"/>
    </x:row>
    <x:row r="316">
      <x:c r="K316" s="42"/>
      <x:c r="L316" s="42"/>
      <x:c r="M316" s="46"/>
      <x:c r="N316" s="46"/>
      <x:c r="O316" s="46"/>
      <x:c r="P316" s="46"/>
    </x:row>
    <x:row r="317">
      <x:c r="K317" s="42"/>
      <x:c r="L317" s="42"/>
      <x:c r="M317" s="46"/>
      <x:c r="N317" s="46"/>
      <x:c r="O317" s="46"/>
      <x:c r="P317" s="46"/>
    </x:row>
    <x:row r="318">
      <x:c r="K318" s="42"/>
      <x:c r="L318" s="42"/>
      <x:c r="M318" s="46"/>
      <x:c r="N318" s="46"/>
      <x:c r="O318" s="46"/>
      <x:c r="P318" s="46"/>
    </x:row>
    <x:row r="319">
      <x:c r="K319" s="42"/>
      <x:c r="L319" s="42"/>
      <x:c r="M319" s="46"/>
      <x:c r="N319" s="46"/>
      <x:c r="O319" s="46"/>
      <x:c r="P319" s="46"/>
    </x:row>
    <x:row r="320">
      <x:c r="K320" s="42"/>
      <x:c r="L320" s="42"/>
      <x:c r="M320" s="46"/>
      <x:c r="N320" s="46"/>
      <x:c r="O320" s="46"/>
      <x:c r="P320" s="46"/>
    </x:row>
    <x:row r="321">
      <x:c r="K321" s="42"/>
      <x:c r="L321" s="42"/>
      <x:c r="M321" s="46"/>
      <x:c r="N321" s="46"/>
      <x:c r="O321" s="46"/>
      <x:c r="P321" s="46"/>
    </x:row>
    <x:row r="322">
      <x:c r="K322" s="42"/>
      <x:c r="L322" s="42"/>
      <x:c r="M322" s="46"/>
      <x:c r="N322" s="46"/>
      <x:c r="O322" s="46"/>
      <x:c r="P322" s="46"/>
    </x:row>
    <x:row r="323">
      <x:c r="K323" s="42"/>
      <x:c r="L323" s="42"/>
      <x:c r="M323" s="46"/>
      <x:c r="N323" s="46"/>
      <x:c r="O323" s="46"/>
      <x:c r="P323" s="46"/>
    </x:row>
    <x:row r="324">
      <x:c r="K324" s="42"/>
      <x:c r="L324" s="42"/>
      <x:c r="M324" s="46"/>
      <x:c r="N324" s="46"/>
      <x:c r="O324" s="46"/>
      <x:c r="P324" s="46"/>
    </x:row>
    <x:row r="325">
      <x:c r="K325" s="42"/>
      <x:c r="L325" s="42"/>
      <x:c r="M325" s="46"/>
      <x:c r="N325" s="46"/>
      <x:c r="O325" s="46"/>
      <x:c r="P325" s="46"/>
    </x:row>
    <x:row r="326">
      <x:c r="K326" s="42"/>
      <x:c r="L326" s="42"/>
      <x:c r="M326" s="46"/>
      <x:c r="N326" s="46"/>
      <x:c r="O326" s="46"/>
      <x:c r="P326" s="46"/>
    </x:row>
    <x:row r="327">
      <x:c r="K327" s="42"/>
      <x:c r="L327" s="42"/>
      <x:c r="M327" s="46"/>
      <x:c r="N327" s="46"/>
      <x:c r="O327" s="46"/>
      <x:c r="P327" s="46"/>
    </x:row>
    <x:row r="328">
      <x:c r="K328" s="42"/>
      <x:c r="L328" s="42"/>
      <x:c r="M328" s="46"/>
      <x:c r="N328" s="46"/>
      <x:c r="O328" s="46"/>
      <x:c r="P328" s="46"/>
    </x:row>
    <x:row r="329">
      <x:c r="K329" s="42"/>
      <x:c r="L329" s="42"/>
      <x:c r="M329" s="46"/>
      <x:c r="N329" s="46"/>
      <x:c r="O329" s="46"/>
      <x:c r="P329" s="46"/>
    </x:row>
    <x:row r="330">
      <x:c r="K330" s="42"/>
      <x:c r="L330" s="42"/>
      <x:c r="M330" s="46"/>
      <x:c r="N330" s="46"/>
      <x:c r="O330" s="46"/>
      <x:c r="P330" s="46"/>
    </x:row>
    <x:row r="331">
      <x:c r="K331" s="42"/>
      <x:c r="L331" s="42"/>
      <x:c r="M331" s="46"/>
      <x:c r="N331" s="46"/>
      <x:c r="O331" s="46"/>
      <x:c r="P331" s="46"/>
    </x:row>
    <x:row r="332">
      <x:c r="K332" s="42"/>
      <x:c r="L332" s="42"/>
      <x:c r="M332" s="46"/>
      <x:c r="N332" s="46"/>
      <x:c r="O332" s="46"/>
      <x:c r="P332" s="46"/>
    </x:row>
    <x:row r="333">
      <x:c r="K333" s="42"/>
      <x:c r="L333" s="42"/>
      <x:c r="M333" s="46"/>
      <x:c r="N333" s="46"/>
      <x:c r="O333" s="46"/>
      <x:c r="P333" s="46"/>
    </x:row>
    <x:row r="334">
      <x:c r="K334" s="42"/>
      <x:c r="L334" s="42"/>
      <x:c r="M334" s="46"/>
      <x:c r="N334" s="46"/>
      <x:c r="O334" s="46"/>
      <x:c r="P334" s="46"/>
    </x:row>
    <x:row r="335">
      <x:c r="K335" s="42"/>
      <x:c r="L335" s="42"/>
      <x:c r="M335" s="46"/>
      <x:c r="N335" s="46"/>
      <x:c r="O335" s="46"/>
      <x:c r="P335" s="46"/>
    </x:row>
    <x:row r="336">
      <x:c r="K336" s="42"/>
      <x:c r="L336" s="42"/>
      <x:c r="M336" s="46"/>
      <x:c r="N336" s="46"/>
      <x:c r="O336" s="46"/>
      <x:c r="P336" s="46"/>
    </x:row>
    <x:row r="337">
      <x:c r="K337" s="42"/>
      <x:c r="L337" s="42"/>
      <x:c r="M337" s="46"/>
      <x:c r="N337" s="46"/>
      <x:c r="O337" s="46"/>
      <x:c r="P337" s="46"/>
    </x:row>
    <x:row r="338">
      <x:c r="K338" s="42"/>
      <x:c r="L338" s="42"/>
      <x:c r="M338" s="46"/>
      <x:c r="N338" s="46"/>
      <x:c r="O338" s="46"/>
      <x:c r="P338" s="46"/>
    </x:row>
    <x:row r="339">
      <x:c r="K339" s="42"/>
      <x:c r="L339" s="42"/>
      <x:c r="M339" s="46"/>
      <x:c r="N339" s="46"/>
      <x:c r="O339" s="46"/>
      <x:c r="P339" s="46"/>
    </x:row>
    <x:row r="340">
      <x:c r="K340" s="42"/>
      <x:c r="L340" s="42"/>
      <x:c r="M340" s="46"/>
      <x:c r="N340" s="46"/>
      <x:c r="O340" s="46"/>
      <x:c r="P340" s="46"/>
    </x:row>
    <x:row r="341">
      <x:c r="K341" s="42"/>
      <x:c r="L341" s="42"/>
      <x:c r="M341" s="46"/>
      <x:c r="N341" s="46"/>
      <x:c r="O341" s="46"/>
      <x:c r="P341" s="46"/>
    </x:row>
    <x:row r="342">
      <x:c r="K342" s="42"/>
      <x:c r="L342" s="42"/>
      <x:c r="M342" s="46"/>
      <x:c r="N342" s="46"/>
      <x:c r="O342" s="46"/>
      <x:c r="P342" s="46"/>
    </x:row>
    <x:row r="343">
      <x:c r="K343" s="42"/>
      <x:c r="L343" s="42"/>
      <x:c r="M343" s="46"/>
      <x:c r="N343" s="46"/>
      <x:c r="O343" s="46"/>
      <x:c r="P343" s="46"/>
    </x:row>
    <x:row r="344">
      <x:c r="K344" s="42"/>
      <x:c r="L344" s="42"/>
      <x:c r="M344" s="46"/>
      <x:c r="N344" s="46"/>
      <x:c r="O344" s="46"/>
      <x:c r="P344" s="46"/>
    </x:row>
    <x:row r="345">
      <x:c r="K345" s="42"/>
      <x:c r="L345" s="42"/>
      <x:c r="M345" s="46"/>
      <x:c r="N345" s="46"/>
      <x:c r="O345" s="46"/>
      <x:c r="P345" s="46"/>
    </x:row>
    <x:row r="346">
      <x:c r="K346" s="42"/>
      <x:c r="L346" s="42"/>
      <x:c r="M346" s="46"/>
      <x:c r="N346" s="46"/>
      <x:c r="O346" s="46"/>
      <x:c r="P346" s="46"/>
    </x:row>
    <x:row r="347">
      <x:c r="K347" s="42"/>
      <x:c r="L347" s="42"/>
      <x:c r="M347" s="46"/>
      <x:c r="N347" s="46"/>
      <x:c r="O347" s="46"/>
      <x:c r="P347" s="46"/>
    </x:row>
    <x:row r="348">
      <x:c r="K348" s="42"/>
      <x:c r="L348" s="42"/>
      <x:c r="M348" s="46"/>
      <x:c r="N348" s="46"/>
      <x:c r="O348" s="46"/>
      <x:c r="P348" s="46"/>
    </x:row>
    <x:row r="349">
      <x:c r="K349" s="42"/>
      <x:c r="L349" s="42"/>
      <x:c r="M349" s="46"/>
      <x:c r="N349" s="46"/>
      <x:c r="O349" s="46"/>
      <x:c r="P349" s="46"/>
    </x:row>
    <x:row r="350">
      <x:c r="K350" s="42"/>
      <x:c r="L350" s="42"/>
      <x:c r="M350" s="46"/>
      <x:c r="N350" s="46"/>
      <x:c r="O350" s="46"/>
      <x:c r="P350" s="46"/>
    </x:row>
    <x:row r="351">
      <x:c r="K351" s="42"/>
      <x:c r="L351" s="42"/>
      <x:c r="M351" s="46"/>
      <x:c r="N351" s="46"/>
      <x:c r="O351" s="46"/>
      <x:c r="P351" s="46"/>
    </x:row>
    <x:row r="352">
      <x:c r="K352" s="42"/>
      <x:c r="L352" s="42"/>
      <x:c r="M352" s="46"/>
      <x:c r="N352" s="46"/>
      <x:c r="O352" s="46"/>
      <x:c r="P352" s="46"/>
    </x:row>
    <x:row r="353">
      <x:c r="K353" s="42"/>
      <x:c r="L353" s="42"/>
      <x:c r="M353" s="46"/>
      <x:c r="N353" s="46"/>
      <x:c r="O353" s="46"/>
      <x:c r="P353" s="46"/>
    </x:row>
    <x:row r="354">
      <x:c r="K354" s="42"/>
      <x:c r="L354" s="42"/>
      <x:c r="M354" s="46"/>
      <x:c r="N354" s="46"/>
      <x:c r="O354" s="46"/>
      <x:c r="P354" s="46"/>
    </x:row>
    <x:row r="355">
      <x:c r="K355" s="42"/>
      <x:c r="L355" s="42"/>
      <x:c r="M355" s="46"/>
      <x:c r="N355" s="46"/>
      <x:c r="O355" s="46"/>
      <x:c r="P355" s="46"/>
    </x:row>
    <x:row r="356">
      <x:c r="K356" s="42"/>
      <x:c r="L356" s="42"/>
      <x:c r="M356" s="46"/>
      <x:c r="N356" s="46"/>
      <x:c r="O356" s="46"/>
      <x:c r="P356" s="46"/>
    </x:row>
    <x:row r="357">
      <x:c r="K357" s="42"/>
      <x:c r="L357" s="42"/>
      <x:c r="M357" s="46"/>
      <x:c r="N357" s="46"/>
      <x:c r="O357" s="46"/>
      <x:c r="P357" s="46"/>
    </x:row>
    <x:row r="358">
      <x:c r="K358" s="42"/>
      <x:c r="L358" s="42"/>
      <x:c r="M358" s="46"/>
      <x:c r="N358" s="46"/>
      <x:c r="O358" s="46"/>
      <x:c r="P358" s="46"/>
    </x:row>
    <x:row r="359">
      <x:c r="K359" s="42"/>
      <x:c r="L359" s="42"/>
      <x:c r="M359" s="46"/>
      <x:c r="N359" s="46"/>
      <x:c r="O359" s="46"/>
      <x:c r="P359" s="46"/>
    </x:row>
    <x:row r="360">
      <x:c r="K360" s="42"/>
      <x:c r="L360" s="42"/>
      <x:c r="M360" s="46"/>
      <x:c r="N360" s="46"/>
      <x:c r="O360" s="46"/>
      <x:c r="P360" s="46"/>
    </x:row>
    <x:row r="361">
      <x:c r="K361" s="42"/>
      <x:c r="L361" s="42"/>
      <x:c r="M361" s="46"/>
      <x:c r="N361" s="46"/>
      <x:c r="O361" s="46"/>
      <x:c r="P361" s="46"/>
    </x:row>
    <x:row r="362">
      <x:c r="K362" s="42"/>
      <x:c r="L362" s="42"/>
      <x:c r="M362" s="46"/>
      <x:c r="N362" s="46"/>
      <x:c r="O362" s="46"/>
      <x:c r="P362" s="46"/>
    </x:row>
    <x:row r="363">
      <x:c r="K363" s="42"/>
      <x:c r="L363" s="42"/>
      <x:c r="M363" s="46"/>
      <x:c r="N363" s="46"/>
      <x:c r="O363" s="46"/>
      <x:c r="P363" s="46"/>
    </x:row>
    <x:row r="364">
      <x:c r="K364" s="42"/>
      <x:c r="L364" s="42"/>
      <x:c r="M364" s="46"/>
      <x:c r="N364" s="46"/>
      <x:c r="O364" s="46"/>
      <x:c r="P364" s="46"/>
    </x:row>
    <x:row r="365">
      <x:c r="K365" s="42"/>
      <x:c r="L365" s="42"/>
      <x:c r="M365" s="46"/>
      <x:c r="N365" s="46"/>
      <x:c r="O365" s="46"/>
      <x:c r="P365" s="46"/>
    </x:row>
    <x:row r="366">
      <x:c r="K366" s="42"/>
      <x:c r="L366" s="42"/>
      <x:c r="M366" s="46"/>
      <x:c r="N366" s="46"/>
      <x:c r="O366" s="46"/>
      <x:c r="P366" s="46"/>
    </x:row>
    <x:row r="367">
      <x:c r="K367" s="42"/>
      <x:c r="L367" s="42"/>
      <x:c r="M367" s="46"/>
      <x:c r="N367" s="46"/>
      <x:c r="O367" s="46"/>
      <x:c r="P367" s="46"/>
    </x:row>
    <x:row r="368">
      <x:c r="K368" s="42"/>
      <x:c r="L368" s="42"/>
      <x:c r="M368" s="46"/>
      <x:c r="N368" s="46"/>
      <x:c r="O368" s="46"/>
      <x:c r="P368" s="46"/>
    </x:row>
    <x:row r="369">
      <x:c r="K369" s="42"/>
      <x:c r="L369" s="42"/>
      <x:c r="M369" s="46"/>
      <x:c r="N369" s="46"/>
      <x:c r="O369" s="46"/>
      <x:c r="P369" s="46"/>
    </x:row>
    <x:row r="370">
      <x:c r="K370" s="42"/>
      <x:c r="L370" s="42"/>
      <x:c r="M370" s="46"/>
      <x:c r="N370" s="46"/>
      <x:c r="O370" s="46"/>
      <x:c r="P370" s="46"/>
    </x:row>
    <x:row r="371">
      <x:c r="K371" s="42"/>
      <x:c r="L371" s="42"/>
      <x:c r="M371" s="46"/>
      <x:c r="N371" s="46"/>
      <x:c r="O371" s="46"/>
      <x:c r="P371" s="46"/>
    </x:row>
    <x:row r="372">
      <x:c r="K372" s="42"/>
      <x:c r="L372" s="42"/>
      <x:c r="M372" s="46"/>
      <x:c r="N372" s="46"/>
      <x:c r="O372" s="46"/>
      <x:c r="P372" s="46"/>
    </x:row>
    <x:row r="373">
      <x:c r="K373" s="42"/>
      <x:c r="L373" s="42"/>
      <x:c r="M373" s="46"/>
      <x:c r="N373" s="46"/>
      <x:c r="O373" s="46"/>
      <x:c r="P373" s="46"/>
    </x:row>
    <x:row r="374">
      <x:c r="K374" s="42"/>
      <x:c r="L374" s="42"/>
      <x:c r="M374" s="46"/>
      <x:c r="N374" s="46"/>
      <x:c r="O374" s="46"/>
      <x:c r="P374" s="46"/>
    </x:row>
    <x:row r="375">
      <x:c r="K375" s="42"/>
      <x:c r="L375" s="42"/>
      <x:c r="M375" s="46"/>
      <x:c r="N375" s="46"/>
      <x:c r="O375" s="46"/>
      <x:c r="P375" s="46"/>
    </x:row>
    <x:row r="376">
      <x:c r="K376" s="42"/>
      <x:c r="L376" s="42"/>
      <x:c r="M376" s="46"/>
      <x:c r="N376" s="46"/>
      <x:c r="O376" s="46"/>
      <x:c r="P376" s="46"/>
    </x:row>
    <x:row r="377">
      <x:c r="K377" s="42"/>
      <x:c r="L377" s="42"/>
      <x:c r="M377" s="46"/>
      <x:c r="N377" s="46"/>
      <x:c r="O377" s="46"/>
      <x:c r="P377" s="46"/>
    </x:row>
    <x:row r="378">
      <x:c r="K378" s="42"/>
      <x:c r="L378" s="42"/>
      <x:c r="M378" s="46"/>
      <x:c r="N378" s="46"/>
      <x:c r="O378" s="46"/>
      <x:c r="P378" s="46"/>
    </x:row>
    <x:row r="379">
      <x:c r="K379" s="42"/>
      <x:c r="L379" s="42"/>
      <x:c r="M379" s="46"/>
      <x:c r="N379" s="46"/>
      <x:c r="O379" s="46"/>
      <x:c r="P379" s="46"/>
    </x:row>
    <x:row r="380">
      <x:c r="K380" s="42"/>
      <x:c r="L380" s="42"/>
      <x:c r="M380" s="46"/>
      <x:c r="N380" s="46"/>
      <x:c r="O380" s="46"/>
      <x:c r="P380" s="46"/>
    </x:row>
    <x:row r="381">
      <x:c r="K381" s="42"/>
      <x:c r="L381" s="42"/>
      <x:c r="M381" s="46"/>
      <x:c r="N381" s="46"/>
      <x:c r="O381" s="46"/>
      <x:c r="P381" s="46"/>
    </x:row>
    <x:row r="382">
      <x:c r="K382" s="42"/>
      <x:c r="L382" s="42"/>
      <x:c r="M382" s="46"/>
      <x:c r="N382" s="46"/>
      <x:c r="O382" s="46"/>
      <x:c r="P382" s="46"/>
    </x:row>
    <x:row r="383">
      <x:c r="K383" s="42"/>
      <x:c r="L383" s="42"/>
      <x:c r="M383" s="46"/>
      <x:c r="N383" s="46"/>
      <x:c r="O383" s="46"/>
      <x:c r="P383" s="46"/>
    </x:row>
    <x:row r="384">
      <x:c r="K384" s="42"/>
      <x:c r="L384" s="42"/>
      <x:c r="M384" s="46"/>
      <x:c r="N384" s="46"/>
      <x:c r="O384" s="46"/>
      <x:c r="P384" s="46"/>
    </x:row>
    <x:row r="385">
      <x:c r="K385" s="42"/>
      <x:c r="L385" s="42"/>
      <x:c r="M385" s="46"/>
      <x:c r="N385" s="46"/>
      <x:c r="O385" s="46"/>
      <x:c r="P385" s="46"/>
    </x:row>
    <x:row r="386">
      <x:c r="K386" s="42"/>
      <x:c r="L386" s="42"/>
      <x:c r="M386" s="46"/>
      <x:c r="N386" s="46"/>
      <x:c r="O386" s="46"/>
      <x:c r="P386" s="46"/>
    </x:row>
    <x:row r="387">
      <x:c r="K387" s="42"/>
      <x:c r="L387" s="42"/>
      <x:c r="M387" s="46"/>
      <x:c r="N387" s="46"/>
      <x:c r="O387" s="46"/>
      <x:c r="P387" s="46"/>
    </x:row>
    <x:row r="388">
      <x:c r="K388" s="42"/>
      <x:c r="L388" s="42"/>
      <x:c r="M388" s="46"/>
      <x:c r="N388" s="46"/>
      <x:c r="O388" s="46"/>
      <x:c r="P388" s="46"/>
    </x:row>
    <x:row r="389">
      <x:c r="K389" s="42"/>
      <x:c r="L389" s="42"/>
      <x:c r="M389" s="46"/>
      <x:c r="N389" s="46"/>
      <x:c r="O389" s="46"/>
      <x:c r="P389" s="46"/>
    </x:row>
    <x:row r="390">
      <x:c r="K390" s="42"/>
      <x:c r="L390" s="42"/>
      <x:c r="M390" s="46"/>
      <x:c r="N390" s="46"/>
      <x:c r="O390" s="46"/>
      <x:c r="P390" s="46"/>
    </x:row>
    <x:row r="391">
      <x:c r="K391" s="42"/>
      <x:c r="L391" s="42"/>
      <x:c r="M391" s="46"/>
      <x:c r="N391" s="46"/>
      <x:c r="O391" s="46"/>
      <x:c r="P391" s="46"/>
    </x:row>
    <x:row r="392">
      <x:c r="K392" s="42"/>
      <x:c r="L392" s="42"/>
      <x:c r="M392" s="46"/>
      <x:c r="N392" s="46"/>
      <x:c r="O392" s="46"/>
      <x:c r="P392" s="46"/>
    </x:row>
    <x:row r="393">
      <x:c r="K393" s="42"/>
      <x:c r="L393" s="42"/>
      <x:c r="M393" s="46"/>
      <x:c r="N393" s="46"/>
      <x:c r="O393" s="46"/>
      <x:c r="P393" s="46"/>
    </x:row>
    <x:row r="394">
      <x:c r="K394" s="42"/>
      <x:c r="L394" s="42"/>
      <x:c r="M394" s="46"/>
      <x:c r="N394" s="46"/>
      <x:c r="O394" s="46"/>
      <x:c r="P394" s="46"/>
    </x:row>
    <x:row r="395">
      <x:c r="K395" s="42"/>
      <x:c r="L395" s="42"/>
      <x:c r="M395" s="46"/>
      <x:c r="N395" s="46"/>
      <x:c r="O395" s="46"/>
      <x:c r="P395" s="46"/>
    </x:row>
    <x:row r="396">
      <x:c r="K396" s="42"/>
      <x:c r="L396" s="42"/>
      <x:c r="M396" s="46"/>
      <x:c r="N396" s="46"/>
      <x:c r="O396" s="46"/>
      <x:c r="P396" s="46"/>
    </x:row>
    <x:row r="397">
      <x:c r="K397" s="42"/>
      <x:c r="L397" s="42"/>
      <x:c r="M397" s="46"/>
      <x:c r="N397" s="46"/>
      <x:c r="O397" s="46"/>
      <x:c r="P397" s="46"/>
    </x:row>
    <x:row r="398">
      <x:c r="K398" s="42"/>
      <x:c r="L398" s="42"/>
      <x:c r="M398" s="46"/>
      <x:c r="N398" s="46"/>
      <x:c r="O398" s="46"/>
      <x:c r="P398" s="46"/>
    </x:row>
    <x:row r="399">
      <x:c r="K399" s="42"/>
      <x:c r="L399" s="42"/>
      <x:c r="M399" s="46"/>
      <x:c r="N399" s="46"/>
      <x:c r="O399" s="46"/>
      <x:c r="P399" s="46"/>
    </x:row>
    <x:row r="400">
      <x:c r="K400" s="42"/>
      <x:c r="L400" s="42"/>
      <x:c r="M400" s="46"/>
      <x:c r="N400" s="46"/>
      <x:c r="O400" s="46"/>
      <x:c r="P400" s="46"/>
    </x:row>
    <x:row r="401">
      <x:c r="K401" s="42"/>
      <x:c r="L401" s="42"/>
      <x:c r="M401" s="46"/>
      <x:c r="N401" s="46"/>
      <x:c r="O401" s="46"/>
      <x:c r="P401" s="46"/>
    </x:row>
    <x:row r="402">
      <x:c r="K402" s="42"/>
      <x:c r="L402" s="42"/>
      <x:c r="M402" s="46"/>
      <x:c r="N402" s="46"/>
      <x:c r="O402" s="46"/>
      <x:c r="P402" s="46"/>
    </x:row>
    <x:row r="403">
      <x:c r="K403" s="42"/>
      <x:c r="L403" s="42"/>
      <x:c r="M403" s="46"/>
      <x:c r="N403" s="46"/>
      <x:c r="O403" s="46"/>
      <x:c r="P403" s="46"/>
    </x:row>
    <x:row r="404">
      <x:c r="K404" s="42"/>
      <x:c r="L404" s="42"/>
      <x:c r="M404" s="46"/>
      <x:c r="N404" s="46"/>
      <x:c r="O404" s="46"/>
      <x:c r="P404" s="46"/>
    </x:row>
    <x:row r="405">
      <x:c r="K405" s="42"/>
      <x:c r="L405" s="42"/>
      <x:c r="M405" s="46"/>
      <x:c r="N405" s="46"/>
      <x:c r="O405" s="46"/>
      <x:c r="P405" s="46"/>
    </x:row>
    <x:row r="406">
      <x:c r="K406" s="42"/>
      <x:c r="L406" s="42"/>
      <x:c r="M406" s="46"/>
      <x:c r="N406" s="46"/>
      <x:c r="O406" s="46"/>
      <x:c r="P406" s="46"/>
    </x:row>
    <x:row r="407">
      <x:c r="K407" s="42"/>
      <x:c r="L407" s="42"/>
      <x:c r="M407" s="46"/>
      <x:c r="N407" s="46"/>
      <x:c r="O407" s="46"/>
      <x:c r="P407" s="46"/>
    </x:row>
    <x:row r="408">
      <x:c r="K408" s="42"/>
      <x:c r="L408" s="42"/>
      <x:c r="M408" s="46"/>
      <x:c r="N408" s="46"/>
      <x:c r="O408" s="46"/>
      <x:c r="P408" s="46"/>
    </x:row>
    <x:row r="409">
      <x:c r="K409" s="42"/>
      <x:c r="L409" s="42"/>
      <x:c r="M409" s="46"/>
      <x:c r="N409" s="46"/>
      <x:c r="O409" s="46"/>
      <x:c r="P409" s="46"/>
    </x:row>
    <x:row r="410">
      <x:c r="K410" s="42"/>
      <x:c r="L410" s="42"/>
      <x:c r="M410" s="46"/>
      <x:c r="N410" s="46"/>
      <x:c r="O410" s="46"/>
      <x:c r="P410" s="46"/>
    </x:row>
    <x:row r="411">
      <x:c r="K411" s="42"/>
      <x:c r="L411" s="42"/>
      <x:c r="M411" s="46"/>
      <x:c r="N411" s="46"/>
      <x:c r="O411" s="46"/>
      <x:c r="P411" s="46"/>
    </x:row>
    <x:row r="412">
      <x:c r="K412" s="42"/>
      <x:c r="L412" s="42"/>
      <x:c r="M412" s="46"/>
      <x:c r="N412" s="46"/>
      <x:c r="O412" s="46"/>
      <x:c r="P412" s="46"/>
    </x:row>
    <x:row r="413">
      <x:c r="K413" s="42"/>
      <x:c r="L413" s="42"/>
      <x:c r="M413" s="46"/>
      <x:c r="N413" s="46"/>
      <x:c r="O413" s="46"/>
      <x:c r="P413" s="46"/>
    </x:row>
    <x:row r="414">
      <x:c r="K414" s="42"/>
      <x:c r="L414" s="42"/>
      <x:c r="M414" s="46"/>
      <x:c r="N414" s="46"/>
      <x:c r="O414" s="46"/>
      <x:c r="P414" s="46"/>
    </x:row>
    <x:row r="415">
      <x:c r="K415" s="42"/>
      <x:c r="L415" s="42"/>
      <x:c r="M415" s="46"/>
      <x:c r="N415" s="46"/>
      <x:c r="O415" s="46"/>
      <x:c r="P415" s="46"/>
    </x:row>
    <x:row r="416">
      <x:c r="K416" s="42"/>
      <x:c r="L416" s="42"/>
      <x:c r="M416" s="46"/>
      <x:c r="N416" s="46"/>
      <x:c r="O416" s="46"/>
      <x:c r="P416" s="46"/>
    </x:row>
    <x:row r="417">
      <x:c r="K417" s="42"/>
      <x:c r="L417" s="42"/>
      <x:c r="M417" s="46"/>
      <x:c r="N417" s="46"/>
      <x:c r="O417" s="46"/>
      <x:c r="P417" s="46"/>
    </x:row>
    <x:row r="418">
      <x:c r="K418" s="42"/>
      <x:c r="L418" s="42"/>
      <x:c r="M418" s="46"/>
      <x:c r="N418" s="46"/>
      <x:c r="O418" s="46"/>
      <x:c r="P418" s="46"/>
    </x:row>
    <x:row r="419">
      <x:c r="K419" s="42"/>
      <x:c r="L419" s="42"/>
      <x:c r="M419" s="46"/>
      <x:c r="N419" s="46"/>
      <x:c r="O419" s="46"/>
      <x:c r="P419" s="46"/>
    </x:row>
    <x:row r="420">
      <x:c r="K420" s="42"/>
      <x:c r="L420" s="42"/>
      <x:c r="M420" s="46"/>
      <x:c r="N420" s="46"/>
      <x:c r="O420" s="46"/>
      <x:c r="P420" s="46"/>
    </x:row>
    <x:row r="421">
      <x:c r="K421" s="42"/>
      <x:c r="L421" s="42"/>
      <x:c r="M421" s="46"/>
      <x:c r="N421" s="46"/>
      <x:c r="O421" s="46"/>
      <x:c r="P421" s="46"/>
    </x:row>
    <x:row r="422">
      <x:c r="K422" s="42"/>
      <x:c r="L422" s="42"/>
      <x:c r="M422" s="46"/>
      <x:c r="N422" s="46"/>
      <x:c r="O422" s="46"/>
      <x:c r="P422" s="46"/>
    </x:row>
    <x:row r="423">
      <x:c r="K423" s="42"/>
      <x:c r="L423" s="42"/>
      <x:c r="M423" s="46"/>
      <x:c r="N423" s="46"/>
      <x:c r="O423" s="46"/>
      <x:c r="P423" s="46"/>
    </x:row>
    <x:row r="424">
      <x:c r="K424" s="42"/>
      <x:c r="L424" s="42"/>
      <x:c r="M424" s="46"/>
      <x:c r="N424" s="46"/>
      <x:c r="O424" s="46"/>
      <x:c r="P424" s="46"/>
    </x:row>
    <x:row r="425">
      <x:c r="K425" s="42"/>
      <x:c r="L425" s="42"/>
      <x:c r="M425" s="46"/>
      <x:c r="N425" s="46"/>
      <x:c r="O425" s="46"/>
      <x:c r="P425" s="46"/>
    </x:row>
    <x:row r="426">
      <x:c r="K426" s="42"/>
      <x:c r="L426" s="42"/>
      <x:c r="M426" s="46"/>
      <x:c r="N426" s="46"/>
      <x:c r="O426" s="46"/>
      <x:c r="P426" s="46"/>
    </x:row>
    <x:row r="427">
      <x:c r="K427" s="42"/>
      <x:c r="L427" s="42"/>
      <x:c r="M427" s="46"/>
      <x:c r="N427" s="46"/>
      <x:c r="O427" s="46"/>
      <x:c r="P427" s="46"/>
    </x:row>
    <x:row r="428">
      <x:c r="K428" s="42"/>
      <x:c r="L428" s="42"/>
      <x:c r="M428" s="46"/>
      <x:c r="N428" s="46"/>
      <x:c r="O428" s="46"/>
      <x:c r="P428" s="46"/>
    </x:row>
    <x:row r="429">
      <x:c r="K429" s="42"/>
      <x:c r="L429" s="42"/>
      <x:c r="M429" s="46"/>
      <x:c r="N429" s="46"/>
      <x:c r="O429" s="46"/>
      <x:c r="P429" s="46"/>
    </x:row>
    <x:row r="430">
      <x:c r="K430" s="42"/>
      <x:c r="L430" s="42"/>
      <x:c r="M430" s="46"/>
      <x:c r="N430" s="46"/>
      <x:c r="O430" s="46"/>
      <x:c r="P430" s="46"/>
    </x:row>
    <x:row r="431">
      <x:c r="K431" s="42"/>
      <x:c r="L431" s="42"/>
      <x:c r="M431" s="46"/>
      <x:c r="N431" s="46"/>
      <x:c r="O431" s="46"/>
      <x:c r="P431" s="46"/>
    </x:row>
    <x:row r="432">
      <x:c r="K432" s="42"/>
      <x:c r="L432" s="42"/>
      <x:c r="M432" s="46"/>
      <x:c r="N432" s="46"/>
      <x:c r="O432" s="46"/>
      <x:c r="P432" s="46"/>
    </x:row>
    <x:row r="433">
      <x:c r="K433" s="42"/>
      <x:c r="L433" s="42"/>
      <x:c r="M433" s="46"/>
      <x:c r="N433" s="46"/>
      <x:c r="O433" s="46"/>
      <x:c r="P433" s="46"/>
    </x:row>
    <x:row r="434">
      <x:c r="K434" s="42"/>
      <x:c r="L434" s="42"/>
      <x:c r="M434" s="46"/>
      <x:c r="N434" s="46"/>
      <x:c r="O434" s="46"/>
      <x:c r="P434" s="46"/>
    </x:row>
    <x:row r="435">
      <x:c r="K435" s="42"/>
      <x:c r="L435" s="42"/>
      <x:c r="M435" s="46"/>
      <x:c r="N435" s="46"/>
      <x:c r="O435" s="46"/>
      <x:c r="P435" s="46"/>
    </x:row>
    <x:row r="436">
      <x:c r="K436" s="42"/>
      <x:c r="L436" s="42"/>
      <x:c r="M436" s="46"/>
      <x:c r="N436" s="46"/>
      <x:c r="O436" s="46"/>
      <x:c r="P436" s="46"/>
    </x:row>
    <x:row r="437">
      <x:c r="K437" s="42"/>
      <x:c r="L437" s="42"/>
      <x:c r="M437" s="46"/>
      <x:c r="N437" s="46"/>
      <x:c r="O437" s="46"/>
      <x:c r="P437" s="46"/>
    </x:row>
    <x:row r="438">
      <x:c r="K438" s="42"/>
      <x:c r="L438" s="42"/>
      <x:c r="M438" s="46"/>
      <x:c r="N438" s="46"/>
      <x:c r="O438" s="46"/>
      <x:c r="P438" s="46"/>
    </x:row>
    <x:row r="439">
      <x:c r="K439" s="42"/>
      <x:c r="L439" s="42"/>
      <x:c r="M439" s="46"/>
      <x:c r="N439" s="46"/>
      <x:c r="O439" s="46"/>
      <x:c r="P439" s="46"/>
    </x:row>
    <x:row r="440">
      <x:c r="K440" s="42"/>
      <x:c r="L440" s="42"/>
      <x:c r="M440" s="46"/>
      <x:c r="N440" s="46"/>
      <x:c r="O440" s="46"/>
      <x:c r="P440" s="46"/>
    </x:row>
    <x:row r="441">
      <x:c r="K441" s="42"/>
      <x:c r="L441" s="42"/>
      <x:c r="M441" s="46"/>
      <x:c r="N441" s="46"/>
      <x:c r="O441" s="46"/>
      <x:c r="P441" s="46"/>
    </x:row>
    <x:row r="442">
      <x:c r="K442" s="42"/>
      <x:c r="L442" s="42"/>
      <x:c r="M442" s="46"/>
      <x:c r="N442" s="46"/>
      <x:c r="O442" s="46"/>
      <x:c r="P442" s="46"/>
    </x:row>
    <x:row r="443">
      <x:c r="K443" s="42"/>
      <x:c r="L443" s="42"/>
      <x:c r="M443" s="46"/>
      <x:c r="N443" s="46"/>
      <x:c r="O443" s="46"/>
      <x:c r="P443" s="46"/>
    </x:row>
    <x:row r="444">
      <x:c r="K444" s="42"/>
      <x:c r="L444" s="42"/>
      <x:c r="M444" s="46"/>
      <x:c r="N444" s="46"/>
      <x:c r="O444" s="46"/>
      <x:c r="P444" s="46"/>
    </x:row>
    <x:row r="445">
      <x:c r="K445" s="42"/>
      <x:c r="L445" s="42"/>
      <x:c r="M445" s="46"/>
      <x:c r="N445" s="46"/>
      <x:c r="O445" s="46"/>
      <x:c r="P445" s="46"/>
    </x:row>
    <x:row r="446">
      <x:c r="K446" s="42"/>
      <x:c r="L446" s="42"/>
      <x:c r="M446" s="46"/>
      <x:c r="N446" s="46"/>
      <x:c r="O446" s="46"/>
      <x:c r="P446" s="46"/>
    </x:row>
    <x:row r="447">
      <x:c r="K447" s="42"/>
      <x:c r="L447" s="42"/>
      <x:c r="M447" s="46"/>
      <x:c r="N447" s="46"/>
      <x:c r="O447" s="46"/>
      <x:c r="P447" s="46"/>
    </x:row>
    <x:row r="448">
      <x:c r="K448" s="42"/>
      <x:c r="L448" s="42"/>
      <x:c r="M448" s="46"/>
      <x:c r="N448" s="46"/>
      <x:c r="O448" s="46"/>
      <x:c r="P448" s="46"/>
    </x:row>
    <x:row r="449">
      <x:c r="K449" s="42"/>
      <x:c r="L449" s="42"/>
      <x:c r="M449" s="46"/>
      <x:c r="N449" s="46"/>
      <x:c r="O449" s="46"/>
      <x:c r="P449" s="46"/>
    </x:row>
    <x:row r="450">
      <x:c r="K450" s="42"/>
      <x:c r="L450" s="42"/>
      <x:c r="M450" s="46"/>
      <x:c r="N450" s="46"/>
      <x:c r="O450" s="46"/>
      <x:c r="P450" s="46"/>
    </x:row>
    <x:row r="451">
      <x:c r="K451" s="42"/>
      <x:c r="L451" s="42"/>
      <x:c r="M451" s="46"/>
      <x:c r="N451" s="46"/>
      <x:c r="O451" s="46"/>
      <x:c r="P451" s="46"/>
    </x:row>
    <x:row r="452">
      <x:c r="K452" s="42"/>
      <x:c r="L452" s="42"/>
      <x:c r="M452" s="46"/>
      <x:c r="N452" s="46"/>
      <x:c r="O452" s="46"/>
      <x:c r="P452" s="46"/>
    </x:row>
    <x:row r="453">
      <x:c r="K453" s="42"/>
      <x:c r="L453" s="42"/>
      <x:c r="M453" s="46"/>
      <x:c r="N453" s="46"/>
      <x:c r="O453" s="46"/>
      <x:c r="P453" s="46"/>
    </x:row>
    <x:row r="454">
      <x:c r="K454" s="42"/>
      <x:c r="L454" s="42"/>
      <x:c r="M454" s="46"/>
      <x:c r="N454" s="46"/>
      <x:c r="O454" s="46"/>
      <x:c r="P454" s="46"/>
    </x:row>
    <x:row r="455">
      <x:c r="K455" s="42"/>
      <x:c r="L455" s="42"/>
      <x:c r="M455" s="46"/>
      <x:c r="N455" s="46"/>
      <x:c r="O455" s="46"/>
      <x:c r="P455" s="46"/>
    </x:row>
    <x:row r="456">
      <x:c r="K456" s="42"/>
      <x:c r="L456" s="42"/>
      <x:c r="M456" s="46"/>
      <x:c r="N456" s="46"/>
      <x:c r="O456" s="46"/>
      <x:c r="P456" s="46"/>
    </x:row>
    <x:row r="457">
      <x:c r="K457" s="42"/>
      <x:c r="L457" s="42"/>
      <x:c r="M457" s="46"/>
      <x:c r="N457" s="46"/>
      <x:c r="O457" s="46"/>
      <x:c r="P457" s="46"/>
    </x:row>
    <x:row r="458">
      <x:c r="K458" s="42"/>
      <x:c r="L458" s="42"/>
      <x:c r="M458" s="46"/>
      <x:c r="N458" s="46"/>
      <x:c r="O458" s="46"/>
      <x:c r="P458" s="46"/>
    </x:row>
    <x:row r="459">
      <x:c r="K459" s="42"/>
      <x:c r="L459" s="42"/>
      <x:c r="M459" s="46"/>
      <x:c r="N459" s="46"/>
      <x:c r="O459" s="46"/>
      <x:c r="P459" s="46"/>
    </x:row>
    <x:row r="460">
      <x:c r="K460" s="42"/>
      <x:c r="L460" s="42"/>
      <x:c r="M460" s="46"/>
      <x:c r="N460" s="46"/>
      <x:c r="O460" s="46"/>
      <x:c r="P460" s="46"/>
    </x:row>
    <x:row r="461">
      <x:c r="K461" s="42"/>
      <x:c r="L461" s="42"/>
      <x:c r="M461" s="46"/>
      <x:c r="N461" s="46"/>
      <x:c r="O461" s="46"/>
      <x:c r="P461" s="46"/>
    </x:row>
    <x:row r="462">
      <x:c r="K462" s="42"/>
      <x:c r="L462" s="42"/>
      <x:c r="M462" s="46"/>
      <x:c r="N462" s="46"/>
      <x:c r="O462" s="46"/>
      <x:c r="P462" s="46"/>
    </x:row>
    <x:row r="463">
      <x:c r="K463" s="42"/>
      <x:c r="L463" s="42"/>
      <x:c r="M463" s="46"/>
      <x:c r="N463" s="46"/>
      <x:c r="O463" s="46"/>
      <x:c r="P463" s="46"/>
    </x:row>
    <x:row r="464">
      <x:c r="K464" s="42"/>
      <x:c r="L464" s="42"/>
      <x:c r="M464" s="46"/>
      <x:c r="N464" s="46"/>
      <x:c r="O464" s="46"/>
      <x:c r="P464" s="46"/>
    </x:row>
    <x:row r="465">
      <x:c r="K465" s="42"/>
      <x:c r="L465" s="42"/>
      <x:c r="M465" s="46"/>
      <x:c r="N465" s="46"/>
      <x:c r="O465" s="46"/>
      <x:c r="P465" s="46"/>
    </x:row>
    <x:row r="466">
      <x:c r="K466" s="42"/>
      <x:c r="L466" s="42"/>
      <x:c r="M466" s="46"/>
      <x:c r="N466" s="46"/>
      <x:c r="O466" s="46"/>
      <x:c r="P466" s="46"/>
    </x:row>
    <x:row r="467">
      <x:c r="K467" s="42"/>
      <x:c r="L467" s="42"/>
      <x:c r="M467" s="46"/>
      <x:c r="N467" s="46"/>
      <x:c r="O467" s="46"/>
      <x:c r="P467" s="46"/>
    </x:row>
    <x:row r="468">
      <x:c r="K468" s="42"/>
      <x:c r="L468" s="42"/>
      <x:c r="M468" s="46"/>
      <x:c r="N468" s="46"/>
      <x:c r="O468" s="46"/>
      <x:c r="P468" s="46"/>
    </x:row>
    <x:row r="469">
      <x:c r="K469" s="42"/>
      <x:c r="L469" s="42"/>
      <x:c r="M469" s="46"/>
      <x:c r="N469" s="46"/>
      <x:c r="O469" s="46"/>
      <x:c r="P469" s="46"/>
    </x:row>
    <x:row r="470">
      <x:c r="K470" s="42"/>
      <x:c r="L470" s="42"/>
      <x:c r="M470" s="46"/>
      <x:c r="N470" s="46"/>
      <x:c r="O470" s="46"/>
      <x:c r="P470" s="46"/>
    </x:row>
    <x:row r="471">
      <x:c r="K471" s="42"/>
      <x:c r="L471" s="42"/>
      <x:c r="M471" s="46"/>
      <x:c r="N471" s="46"/>
      <x:c r="O471" s="46"/>
      <x:c r="P471" s="46"/>
    </x:row>
    <x:row r="472">
      <x:c r="K472" s="42"/>
      <x:c r="L472" s="42"/>
      <x:c r="M472" s="46"/>
      <x:c r="N472" s="46"/>
      <x:c r="O472" s="46"/>
      <x:c r="P472" s="46"/>
    </x:row>
    <x:row r="473">
      <x:c r="K473" s="42"/>
      <x:c r="L473" s="42"/>
      <x:c r="M473" s="46"/>
      <x:c r="N473" s="46"/>
      <x:c r="O473" s="46"/>
      <x:c r="P473" s="46"/>
    </x:row>
    <x:row r="474">
      <x:c r="K474" s="42"/>
      <x:c r="L474" s="42"/>
      <x:c r="M474" s="46"/>
      <x:c r="N474" s="46"/>
      <x:c r="O474" s="46"/>
      <x:c r="P474" s="46"/>
    </x:row>
    <x:row r="475">
      <x:c r="K475" s="42"/>
      <x:c r="L475" s="42"/>
      <x:c r="M475" s="46"/>
      <x:c r="N475" s="46"/>
      <x:c r="O475" s="46"/>
      <x:c r="P475" s="46"/>
    </x:row>
    <x:row r="476">
      <x:c r="K476" s="42"/>
      <x:c r="L476" s="42"/>
      <x:c r="M476" s="46"/>
      <x:c r="N476" s="46"/>
      <x:c r="O476" s="46"/>
      <x:c r="P476" s="46"/>
    </x:row>
    <x:row r="477">
      <x:c r="K477" s="42"/>
      <x:c r="L477" s="42"/>
      <x:c r="M477" s="46"/>
      <x:c r="N477" s="46"/>
      <x:c r="O477" s="46"/>
      <x:c r="P477" s="46"/>
    </x:row>
    <x:row r="478">
      <x:c r="K478" s="42"/>
      <x:c r="L478" s="42"/>
      <x:c r="M478" s="46"/>
      <x:c r="N478" s="46"/>
      <x:c r="O478" s="46"/>
      <x:c r="P478" s="46"/>
    </x:row>
    <x:row r="479">
      <x:c r="K479" s="42"/>
      <x:c r="L479" s="42"/>
      <x:c r="M479" s="46"/>
      <x:c r="N479" s="46"/>
      <x:c r="O479" s="46"/>
      <x:c r="P479" s="46"/>
    </x:row>
    <x:row r="480">
      <x:c r="K480" s="42"/>
      <x:c r="L480" s="42"/>
      <x:c r="M480" s="46"/>
      <x:c r="N480" s="46"/>
      <x:c r="O480" s="46"/>
      <x:c r="P480" s="46"/>
    </x:row>
    <x:row r="481">
      <x:c r="K481" s="42"/>
      <x:c r="L481" s="42"/>
      <x:c r="M481" s="46"/>
      <x:c r="N481" s="46"/>
      <x:c r="O481" s="46"/>
      <x:c r="P481" s="46"/>
    </x:row>
    <x:row r="482">
      <x:c r="K482" s="42"/>
      <x:c r="L482" s="42"/>
      <x:c r="M482" s="46"/>
      <x:c r="N482" s="46"/>
      <x:c r="O482" s="46"/>
      <x:c r="P482" s="46"/>
    </x:row>
    <x:row r="483">
      <x:c r="K483" s="42"/>
      <x:c r="L483" s="42"/>
      <x:c r="M483" s="46"/>
      <x:c r="N483" s="46"/>
      <x:c r="O483" s="46"/>
      <x:c r="P483" s="46"/>
    </x:row>
    <x:row r="484">
      <x:c r="K484" s="42"/>
      <x:c r="L484" s="42"/>
      <x:c r="M484" s="46"/>
      <x:c r="N484" s="46"/>
      <x:c r="O484" s="46"/>
      <x:c r="P484" s="46"/>
    </x:row>
    <x:row r="485">
      <x:c r="K485" s="42"/>
      <x:c r="L485" s="42"/>
      <x:c r="M485" s="46"/>
      <x:c r="N485" s="46"/>
      <x:c r="O485" s="46"/>
      <x:c r="P485" s="46"/>
    </x:row>
    <x:row r="486">
      <x:c r="K486" s="42"/>
      <x:c r="L486" s="42"/>
      <x:c r="M486" s="46"/>
      <x:c r="N486" s="46"/>
      <x:c r="O486" s="46"/>
      <x:c r="P486" s="46"/>
    </x:row>
    <x:row r="487">
      <x:c r="K487" s="42"/>
      <x:c r="L487" s="42"/>
      <x:c r="M487" s="46"/>
      <x:c r="N487" s="46"/>
      <x:c r="O487" s="46"/>
      <x:c r="P487" s="46"/>
    </x:row>
    <x:row r="488">
      <x:c r="K488" s="42"/>
      <x:c r="L488" s="42"/>
      <x:c r="M488" s="46"/>
      <x:c r="N488" s="46"/>
      <x:c r="O488" s="46"/>
      <x:c r="P488" s="46"/>
    </x:row>
    <x:row r="489">
      <x:c r="K489" s="42"/>
      <x:c r="L489" s="42"/>
      <x:c r="M489" s="46"/>
      <x:c r="N489" s="46"/>
      <x:c r="O489" s="46"/>
      <x:c r="P489" s="46"/>
    </x:row>
    <x:row r="490">
      <x:c r="K490" s="42"/>
      <x:c r="L490" s="42"/>
      <x:c r="M490" s="46"/>
      <x:c r="N490" s="46"/>
      <x:c r="O490" s="46"/>
      <x:c r="P490" s="46"/>
    </x:row>
    <x:row r="491">
      <x:c r="K491" s="42"/>
      <x:c r="L491" s="42"/>
      <x:c r="M491" s="46"/>
      <x:c r="N491" s="46"/>
      <x:c r="O491" s="46"/>
      <x:c r="P491" s="46"/>
    </x:row>
    <x:row r="492">
      <x:c r="K492" s="42"/>
      <x:c r="L492" s="42"/>
      <x:c r="M492" s="46"/>
      <x:c r="N492" s="46"/>
      <x:c r="O492" s="46"/>
      <x:c r="P492" s="46"/>
    </x:row>
    <x:row r="493">
      <x:c r="K493" s="42"/>
      <x:c r="L493" s="42"/>
      <x:c r="M493" s="46"/>
      <x:c r="N493" s="46"/>
      <x:c r="O493" s="46"/>
      <x:c r="P493" s="46"/>
    </x:row>
    <x:row r="494">
      <x:c r="K494" s="42"/>
      <x:c r="L494" s="42"/>
      <x:c r="M494" s="46"/>
      <x:c r="N494" s="46"/>
      <x:c r="O494" s="46"/>
      <x:c r="P494" s="46"/>
    </x:row>
    <x:row r="495">
      <x:c r="K495" s="42"/>
      <x:c r="L495" s="42"/>
      <x:c r="M495" s="46"/>
      <x:c r="N495" s="46"/>
      <x:c r="O495" s="46"/>
      <x:c r="P495" s="46"/>
    </x:row>
    <x:row r="496">
      <x:c r="K496" s="42"/>
      <x:c r="L496" s="42"/>
      <x:c r="M496" s="46"/>
      <x:c r="N496" s="46"/>
      <x:c r="O496" s="46"/>
      <x:c r="P496" s="46"/>
    </x:row>
    <x:row r="497">
      <x:c r="K497" s="42"/>
      <x:c r="L497" s="42"/>
      <x:c r="M497" s="46"/>
      <x:c r="N497" s="46"/>
      <x:c r="O497" s="46"/>
      <x:c r="P497" s="46"/>
    </x:row>
    <x:row r="498">
      <x:c r="K498" s="42"/>
      <x:c r="L498" s="42"/>
      <x:c r="M498" s="46"/>
      <x:c r="N498" s="46"/>
      <x:c r="O498" s="46"/>
      <x:c r="P498" s="46"/>
    </x:row>
    <x:row r="499">
      <x:c r="K499" s="42"/>
      <x:c r="L499" s="42"/>
      <x:c r="M499" s="46"/>
      <x:c r="N499" s="46"/>
      <x:c r="O499" s="46"/>
      <x:c r="P499" s="46"/>
    </x:row>
    <x:row r="500">
      <x:c r="K500" s="42"/>
      <x:c r="L500" s="42"/>
      <x:c r="M500" s="46"/>
      <x:c r="N500" s="46"/>
      <x:c r="O500" s="46"/>
      <x:c r="P500" s="46"/>
    </x:row>
    <x:row r="501">
      <x:c r="K501" s="42"/>
      <x:c r="L501" s="42"/>
      <x:c r="M501" s="46"/>
      <x:c r="N501" s="46"/>
      <x:c r="O501" s="46"/>
      <x:c r="P501" s="46"/>
    </x:row>
    <x:row r="502">
      <x:c r="K502" s="42"/>
      <x:c r="L502" s="42"/>
      <x:c r="M502" s="46"/>
      <x:c r="N502" s="46"/>
      <x:c r="O502" s="46"/>
      <x:c r="P502" s="46"/>
    </x:row>
    <x:row r="503">
      <x:c r="K503" s="42"/>
      <x:c r="L503" s="42"/>
      <x:c r="M503" s="46"/>
      <x:c r="N503" s="46"/>
      <x:c r="O503" s="46"/>
      <x:c r="P503" s="46"/>
    </x:row>
    <x:row r="504">
      <x:c r="K504" s="42"/>
      <x:c r="L504" s="42"/>
      <x:c r="M504" s="46"/>
      <x:c r="N504" s="46"/>
      <x:c r="O504" s="46"/>
      <x:c r="P504" s="46"/>
    </x:row>
    <x:row r="505">
      <x:c r="K505" s="42"/>
      <x:c r="L505" s="42"/>
      <x:c r="M505" s="46"/>
      <x:c r="N505" s="46"/>
      <x:c r="O505" s="46"/>
      <x:c r="P505" s="46"/>
    </x:row>
    <x:row r="506">
      <x:c r="K506" s="42"/>
      <x:c r="L506" s="42"/>
      <x:c r="M506" s="46"/>
      <x:c r="N506" s="46"/>
      <x:c r="O506" s="46"/>
      <x:c r="P506" s="46"/>
    </x:row>
    <x:row r="507">
      <x:c r="K507" s="42"/>
      <x:c r="L507" s="42"/>
      <x:c r="M507" s="46"/>
      <x:c r="N507" s="46"/>
      <x:c r="O507" s="46"/>
      <x:c r="P507" s="46"/>
    </x:row>
    <x:row r="508">
      <x:c r="K508" s="42"/>
      <x:c r="L508" s="42"/>
      <x:c r="M508" s="46"/>
      <x:c r="N508" s="46"/>
      <x:c r="O508" s="46"/>
      <x:c r="P508" s="46"/>
    </x:row>
    <x:row r="509">
      <x:c r="K509" s="42"/>
      <x:c r="L509" s="42"/>
      <x:c r="M509" s="46"/>
      <x:c r="N509" s="46"/>
      <x:c r="O509" s="46"/>
      <x:c r="P509" s="46"/>
    </x:row>
    <x:row r="510">
      <x:c r="K510" s="42"/>
      <x:c r="L510" s="42"/>
      <x:c r="M510" s="46"/>
      <x:c r="N510" s="46"/>
      <x:c r="O510" s="46"/>
      <x:c r="P510" s="46"/>
    </x:row>
    <x:row r="511">
      <x:c r="K511" s="42"/>
      <x:c r="L511" s="42"/>
      <x:c r="M511" s="46"/>
      <x:c r="N511" s="46"/>
      <x:c r="O511" s="46"/>
      <x:c r="P511" s="46"/>
    </x:row>
    <x:row r="512">
      <x:c r="K512" s="42"/>
      <x:c r="L512" s="42"/>
      <x:c r="M512" s="46"/>
      <x:c r="N512" s="46"/>
      <x:c r="O512" s="46"/>
      <x:c r="P512" s="46"/>
    </x:row>
    <x:row r="513">
      <x:c r="K513" s="42"/>
      <x:c r="L513" s="42"/>
      <x:c r="M513" s="46"/>
      <x:c r="N513" s="46"/>
      <x:c r="O513" s="46"/>
      <x:c r="P513" s="46"/>
    </x:row>
    <x:row r="514">
      <x:c r="K514" s="42"/>
      <x:c r="L514" s="42"/>
      <x:c r="M514" s="46"/>
      <x:c r="N514" s="46"/>
      <x:c r="O514" s="46"/>
      <x:c r="P514" s="46"/>
    </x:row>
    <x:row r="515">
      <x:c r="K515" s="42"/>
      <x:c r="L515" s="42"/>
      <x:c r="M515" s="46"/>
      <x:c r="N515" s="46"/>
      <x:c r="O515" s="46"/>
      <x:c r="P515" s="46"/>
    </x:row>
    <x:row r="516">
      <x:c r="K516" s="42"/>
      <x:c r="L516" s="42"/>
      <x:c r="M516" s="46"/>
      <x:c r="N516" s="46"/>
      <x:c r="O516" s="46"/>
      <x:c r="P516" s="46"/>
    </x:row>
    <x:row r="517">
      <x:c r="K517" s="42"/>
      <x:c r="L517" s="42"/>
      <x:c r="M517" s="46"/>
      <x:c r="N517" s="46"/>
      <x:c r="O517" s="46"/>
      <x:c r="P517" s="46"/>
    </x:row>
    <x:row r="518">
      <x:c r="K518" s="42"/>
      <x:c r="L518" s="42"/>
      <x:c r="M518" s="46"/>
      <x:c r="N518" s="46"/>
      <x:c r="O518" s="46"/>
      <x:c r="P518" s="46"/>
    </x:row>
    <x:row r="519">
      <x:c r="K519" s="42"/>
      <x:c r="L519" s="42"/>
      <x:c r="M519" s="46"/>
      <x:c r="N519" s="46"/>
      <x:c r="O519" s="46"/>
      <x:c r="P519" s="46"/>
    </x:row>
    <x:row r="520">
      <x:c r="K520" s="42"/>
      <x:c r="L520" s="42"/>
      <x:c r="M520" s="46"/>
      <x:c r="N520" s="46"/>
      <x:c r="O520" s="46"/>
      <x:c r="P520" s="46"/>
    </x:row>
    <x:row r="521">
      <x:c r="K521" s="42"/>
      <x:c r="L521" s="42"/>
      <x:c r="M521" s="46"/>
      <x:c r="N521" s="46"/>
      <x:c r="O521" s="46"/>
      <x:c r="P521" s="46"/>
    </x:row>
    <x:row r="522">
      <x:c r="K522" s="42"/>
      <x:c r="L522" s="42"/>
      <x:c r="M522" s="46"/>
      <x:c r="N522" s="46"/>
      <x:c r="O522" s="46"/>
      <x:c r="P522" s="46"/>
    </x:row>
    <x:row r="523">
      <x:c r="K523" s="42"/>
      <x:c r="L523" s="42"/>
      <x:c r="M523" s="46"/>
      <x:c r="N523" s="46"/>
      <x:c r="O523" s="46"/>
      <x:c r="P523" s="46"/>
    </x:row>
    <x:row r="524">
      <x:c r="K524" s="42"/>
      <x:c r="L524" s="42"/>
      <x:c r="M524" s="46"/>
      <x:c r="N524" s="46"/>
      <x:c r="O524" s="46"/>
      <x:c r="P524" s="46"/>
    </x:row>
    <x:row r="525">
      <x:c r="K525" s="42"/>
      <x:c r="L525" s="42"/>
      <x:c r="M525" s="46"/>
      <x:c r="N525" s="46"/>
      <x:c r="O525" s="46"/>
      <x:c r="P525" s="46"/>
    </x:row>
    <x:row r="526">
      <x:c r="K526" s="42"/>
      <x:c r="L526" s="42"/>
      <x:c r="M526" s="46"/>
      <x:c r="N526" s="46"/>
      <x:c r="O526" s="46"/>
      <x:c r="P526" s="46"/>
    </x:row>
    <x:row r="527">
      <x:c r="K527" s="42"/>
      <x:c r="L527" s="42"/>
      <x:c r="M527" s="46"/>
      <x:c r="N527" s="46"/>
      <x:c r="O527" s="46"/>
      <x:c r="P527" s="46"/>
    </x:row>
    <x:row r="528">
      <x:c r="K528" s="42"/>
      <x:c r="L528" s="42"/>
      <x:c r="M528" s="46"/>
      <x:c r="N528" s="46"/>
      <x:c r="O528" s="46"/>
      <x:c r="P528" s="46"/>
    </x:row>
    <x:row r="529">
      <x:c r="K529" s="42"/>
      <x:c r="L529" s="42"/>
      <x:c r="M529" s="46"/>
      <x:c r="N529" s="46"/>
      <x:c r="O529" s="46"/>
      <x:c r="P529" s="46"/>
    </x:row>
    <x:row r="530">
      <x:c r="K530" s="42"/>
      <x:c r="L530" s="42"/>
      <x:c r="M530" s="46"/>
      <x:c r="N530" s="46"/>
      <x:c r="O530" s="46"/>
      <x:c r="P530" s="46"/>
    </x:row>
    <x:row r="531">
      <x:c r="K531" s="42"/>
      <x:c r="L531" s="42"/>
      <x:c r="M531" s="46"/>
      <x:c r="N531" s="46"/>
      <x:c r="O531" s="46"/>
      <x:c r="P531" s="46"/>
    </x:row>
    <x:row r="532">
      <x:c r="K532" s="42"/>
      <x:c r="L532" s="42"/>
      <x:c r="M532" s="46"/>
      <x:c r="N532" s="46"/>
      <x:c r="O532" s="46"/>
      <x:c r="P532" s="46"/>
    </x:row>
    <x:row r="533">
      <x:c r="K533" s="42"/>
      <x:c r="L533" s="42"/>
      <x:c r="M533" s="46"/>
      <x:c r="N533" s="46"/>
      <x:c r="O533" s="46"/>
      <x:c r="P533" s="46"/>
    </x:row>
    <x:row r="534">
      <x:c r="K534" s="42"/>
      <x:c r="L534" s="42"/>
      <x:c r="M534" s="46"/>
      <x:c r="N534" s="46"/>
      <x:c r="O534" s="46"/>
      <x:c r="P534" s="46"/>
    </x:row>
    <x:row r="535">
      <x:c r="K535" s="42"/>
      <x:c r="L535" s="42"/>
      <x:c r="M535" s="46"/>
      <x:c r="N535" s="46"/>
      <x:c r="O535" s="46"/>
      <x:c r="P535" s="46"/>
    </x:row>
    <x:row r="536">
      <x:c r="K536" s="42"/>
      <x:c r="L536" s="42"/>
      <x:c r="M536" s="46"/>
      <x:c r="N536" s="46"/>
      <x:c r="O536" s="46"/>
      <x:c r="P536" s="46"/>
    </x:row>
    <x:row r="537">
      <x:c r="K537" s="42"/>
      <x:c r="L537" s="42"/>
      <x:c r="M537" s="46"/>
      <x:c r="N537" s="46"/>
      <x:c r="O537" s="46"/>
      <x:c r="P537" s="46"/>
    </x:row>
    <x:row r="538">
      <x:c r="K538" s="42"/>
      <x:c r="L538" s="42"/>
      <x:c r="M538" s="46"/>
      <x:c r="N538" s="46"/>
      <x:c r="O538" s="46"/>
      <x:c r="P538" s="46"/>
    </x:row>
    <x:row r="539">
      <x:c r="K539" s="42"/>
      <x:c r="L539" s="42"/>
      <x:c r="M539" s="46"/>
      <x:c r="N539" s="46"/>
      <x:c r="O539" s="46"/>
      <x:c r="P539" s="46"/>
    </x:row>
    <x:row r="540">
      <x:c r="K540" s="42"/>
      <x:c r="L540" s="42"/>
      <x:c r="M540" s="46"/>
      <x:c r="N540" s="46"/>
      <x:c r="O540" s="46"/>
      <x:c r="P540" s="46"/>
    </x:row>
    <x:row r="541">
      <x:c r="K541" s="42"/>
      <x:c r="L541" s="42"/>
      <x:c r="M541" s="46"/>
      <x:c r="N541" s="46"/>
      <x:c r="O541" s="46"/>
      <x:c r="P541" s="46"/>
    </x:row>
    <x:row r="542">
      <x:c r="K542" s="42"/>
      <x:c r="L542" s="42"/>
      <x:c r="M542" s="46"/>
      <x:c r="N542" s="46"/>
      <x:c r="O542" s="46"/>
      <x:c r="P542" s="46"/>
    </x:row>
    <x:row r="543">
      <x:c r="K543" s="42"/>
      <x:c r="L543" s="42"/>
      <x:c r="M543" s="46"/>
      <x:c r="N543" s="46"/>
      <x:c r="O543" s="46"/>
      <x:c r="P543" s="46"/>
    </x:row>
    <x:row r="544">
      <x:c r="K544" s="42"/>
      <x:c r="L544" s="42"/>
      <x:c r="M544" s="46"/>
      <x:c r="N544" s="46"/>
      <x:c r="O544" s="46"/>
      <x:c r="P544" s="46"/>
    </x:row>
    <x:row r="545">
      <x:c r="K545" s="42"/>
      <x:c r="L545" s="42"/>
      <x:c r="M545" s="46"/>
      <x:c r="N545" s="46"/>
      <x:c r="O545" s="46"/>
      <x:c r="P545" s="46"/>
    </x:row>
    <x:row r="546">
      <x:c r="K546" s="42"/>
      <x:c r="L546" s="42"/>
      <x:c r="M546" s="46"/>
      <x:c r="N546" s="46"/>
      <x:c r="O546" s="46"/>
      <x:c r="P546" s="46"/>
    </x:row>
    <x:row r="547">
      <x:c r="K547" s="42"/>
      <x:c r="L547" s="42"/>
      <x:c r="M547" s="46"/>
      <x:c r="N547" s="46"/>
      <x:c r="O547" s="46"/>
      <x:c r="P547" s="46"/>
    </x:row>
    <x:row r="548">
      <x:c r="K548" s="42"/>
      <x:c r="L548" s="42"/>
      <x:c r="M548" s="46"/>
      <x:c r="N548" s="46"/>
      <x:c r="O548" s="46"/>
      <x:c r="P548" s="46"/>
    </x:row>
    <x:row r="549">
      <x:c r="K549" s="42"/>
      <x:c r="L549" s="42"/>
      <x:c r="M549" s="46"/>
      <x:c r="N549" s="46"/>
      <x:c r="O549" s="46"/>
      <x:c r="P549" s="46"/>
    </x:row>
    <x:row r="550">
      <x:c r="K550" s="42"/>
      <x:c r="L550" s="42"/>
      <x:c r="M550" s="46"/>
      <x:c r="N550" s="46"/>
      <x:c r="O550" s="46"/>
      <x:c r="P550" s="46"/>
    </x:row>
    <x:row r="551">
      <x:c r="K551" s="42"/>
      <x:c r="L551" s="42"/>
      <x:c r="M551" s="46"/>
      <x:c r="N551" s="46"/>
      <x:c r="O551" s="46"/>
      <x:c r="P551" s="46"/>
    </x:row>
    <x:row r="552">
      <x:c r="K552" s="42"/>
      <x:c r="L552" s="42"/>
      <x:c r="M552" s="46"/>
      <x:c r="N552" s="46"/>
      <x:c r="O552" s="46"/>
      <x:c r="P552" s="46"/>
    </x:row>
    <x:row r="553">
      <x:c r="K553" s="42"/>
      <x:c r="L553" s="42"/>
      <x:c r="M553" s="46"/>
      <x:c r="N553" s="46"/>
      <x:c r="O553" s="46"/>
      <x:c r="P553" s="46"/>
    </x:row>
    <x:row r="554">
      <x:c r="K554" s="42"/>
      <x:c r="L554" s="42"/>
      <x:c r="M554" s="46"/>
      <x:c r="N554" s="46"/>
      <x:c r="O554" s="46"/>
      <x:c r="P554" s="46"/>
    </x:row>
    <x:row r="555">
      <x:c r="K555" s="42"/>
      <x:c r="L555" s="42"/>
      <x:c r="M555" s="46"/>
      <x:c r="N555" s="46"/>
      <x:c r="O555" s="46"/>
      <x:c r="P555" s="46"/>
    </x:row>
    <x:row r="556">
      <x:c r="K556" s="42"/>
      <x:c r="L556" s="42"/>
      <x:c r="M556" s="46"/>
      <x:c r="N556" s="46"/>
      <x:c r="O556" s="46"/>
      <x:c r="P556" s="46"/>
    </x:row>
    <x:row r="557">
      <x:c r="K557" s="42"/>
      <x:c r="L557" s="42"/>
      <x:c r="M557" s="46"/>
      <x:c r="N557" s="46"/>
      <x:c r="O557" s="46"/>
      <x:c r="P557" s="46"/>
    </x:row>
    <x:row r="558">
      <x:c r="K558" s="42"/>
      <x:c r="L558" s="42"/>
      <x:c r="M558" s="46"/>
      <x:c r="N558" s="46"/>
      <x:c r="O558" s="46"/>
      <x:c r="P558" s="46"/>
    </x:row>
    <x:row r="559">
      <x:c r="K559" s="42"/>
      <x:c r="L559" s="42"/>
      <x:c r="M559" s="46"/>
      <x:c r="N559" s="46"/>
      <x:c r="O559" s="46"/>
      <x:c r="P559" s="46"/>
    </x:row>
    <x:row r="560">
      <x:c r="K560" s="42"/>
      <x:c r="L560" s="42"/>
      <x:c r="M560" s="46"/>
      <x:c r="N560" s="46"/>
      <x:c r="O560" s="46"/>
      <x:c r="P560" s="46"/>
    </x:row>
    <x:row r="561">
      <x:c r="K561" s="42"/>
      <x:c r="L561" s="42"/>
      <x:c r="M561" s="46"/>
      <x:c r="N561" s="46"/>
      <x:c r="O561" s="46"/>
      <x:c r="P561" s="46"/>
    </x:row>
    <x:row r="562">
      <x:c r="K562" s="42"/>
      <x:c r="L562" s="42"/>
      <x:c r="M562" s="46"/>
      <x:c r="N562" s="46"/>
      <x:c r="O562" s="46"/>
      <x:c r="P562" s="46"/>
    </x:row>
    <x:row r="563">
      <x:c r="K563" s="42"/>
      <x:c r="L563" s="42"/>
      <x:c r="M563" s="46"/>
      <x:c r="N563" s="46"/>
      <x:c r="O563" s="46"/>
      <x:c r="P563" s="46"/>
    </x:row>
    <x:row r="564">
      <x:c r="K564" s="42"/>
      <x:c r="L564" s="42"/>
      <x:c r="M564" s="46"/>
      <x:c r="N564" s="46"/>
      <x:c r="O564" s="46"/>
      <x:c r="P564" s="46"/>
    </x:row>
    <x:row r="565">
      <x:c r="K565" s="42"/>
      <x:c r="L565" s="42"/>
      <x:c r="M565" s="46"/>
      <x:c r="N565" s="46"/>
      <x:c r="O565" s="46"/>
      <x:c r="P565" s="46"/>
    </x:row>
    <x:row r="566">
      <x:c r="K566" s="42"/>
      <x:c r="L566" s="42"/>
      <x:c r="M566" s="46"/>
      <x:c r="N566" s="46"/>
      <x:c r="O566" s="46"/>
      <x:c r="P566" s="46"/>
    </x:row>
    <x:row r="567">
      <x:c r="K567" s="42"/>
      <x:c r="L567" s="42"/>
      <x:c r="M567" s="46"/>
      <x:c r="N567" s="46"/>
      <x:c r="O567" s="46"/>
      <x:c r="P567" s="46"/>
    </x:row>
    <x:row r="568">
      <x:c r="K568" s="42"/>
      <x:c r="L568" s="42"/>
      <x:c r="M568" s="46"/>
      <x:c r="N568" s="46"/>
      <x:c r="O568" s="46"/>
      <x:c r="P568" s="46"/>
    </x:row>
    <x:row r="569">
      <x:c r="K569" s="42"/>
      <x:c r="L569" s="42"/>
      <x:c r="M569" s="46"/>
      <x:c r="N569" s="46"/>
      <x:c r="O569" s="46"/>
      <x:c r="P569" s="46"/>
    </x:row>
    <x:row r="570">
      <x:c r="K570" s="42"/>
      <x:c r="L570" s="42"/>
      <x:c r="M570" s="46"/>
      <x:c r="N570" s="46"/>
      <x:c r="O570" s="46"/>
      <x:c r="P570" s="46"/>
    </x:row>
    <x:row r="571">
      <x:c r="K571" s="42"/>
      <x:c r="L571" s="42"/>
      <x:c r="M571" s="46"/>
      <x:c r="N571" s="46"/>
      <x:c r="O571" s="46"/>
      <x:c r="P571" s="46"/>
    </x:row>
    <x:row r="572">
      <x:c r="K572" s="42"/>
      <x:c r="L572" s="42"/>
      <x:c r="M572" s="46"/>
      <x:c r="N572" s="46"/>
      <x:c r="O572" s="46"/>
      <x:c r="P572" s="46"/>
    </x:row>
    <x:row r="573">
      <x:c r="K573" s="42"/>
      <x:c r="L573" s="42"/>
      <x:c r="M573" s="46"/>
      <x:c r="N573" s="46"/>
      <x:c r="O573" s="46"/>
      <x:c r="P573" s="46"/>
    </x:row>
    <x:row r="574">
      <x:c r="K574" s="42"/>
      <x:c r="L574" s="42"/>
      <x:c r="M574" s="46"/>
      <x:c r="N574" s="46"/>
      <x:c r="O574" s="46"/>
      <x:c r="P574" s="46"/>
    </x:row>
    <x:row r="575">
      <x:c r="K575" s="42"/>
      <x:c r="L575" s="42"/>
      <x:c r="M575" s="46"/>
      <x:c r="N575" s="46"/>
      <x:c r="O575" s="46"/>
      <x:c r="P575" s="46"/>
    </x:row>
    <x:row r="576">
      <x:c r="K576" s="42"/>
      <x:c r="L576" s="42"/>
      <x:c r="M576" s="46"/>
      <x:c r="N576" s="46"/>
      <x:c r="O576" s="46"/>
      <x:c r="P576" s="46"/>
    </x:row>
    <x:row r="577">
      <x:c r="K577" s="42"/>
      <x:c r="L577" s="42"/>
      <x:c r="M577" s="46"/>
      <x:c r="N577" s="46"/>
      <x:c r="O577" s="46"/>
      <x:c r="P577" s="46"/>
    </x:row>
    <x:row r="578">
      <x:c r="K578" s="42"/>
      <x:c r="L578" s="42"/>
      <x:c r="M578" s="46"/>
      <x:c r="N578" s="46"/>
      <x:c r="O578" s="46"/>
      <x:c r="P578" s="46"/>
    </x:row>
    <x:row r="579">
      <x:c r="K579" s="42"/>
      <x:c r="L579" s="42"/>
      <x:c r="M579" s="46"/>
      <x:c r="N579" s="46"/>
      <x:c r="O579" s="46"/>
      <x:c r="P579" s="46"/>
    </x:row>
    <x:row r="580">
      <x:c r="K580" s="42"/>
      <x:c r="L580" s="42"/>
      <x:c r="M580" s="46"/>
      <x:c r="N580" s="46"/>
      <x:c r="O580" s="46"/>
      <x:c r="P580" s="46"/>
    </x:row>
    <x:row r="581">
      <x:c r="K581" s="42"/>
      <x:c r="L581" s="42"/>
      <x:c r="M581" s="46"/>
      <x:c r="N581" s="46"/>
      <x:c r="O581" s="46"/>
      <x:c r="P581" s="46"/>
    </x:row>
    <x:row r="582">
      <x:c r="K582" s="42"/>
      <x:c r="L582" s="42"/>
      <x:c r="M582" s="46"/>
      <x:c r="N582" s="46"/>
      <x:c r="O582" s="46"/>
      <x:c r="P582" s="46"/>
    </x:row>
    <x:row r="583">
      <x:c r="K583" s="42"/>
      <x:c r="L583" s="42"/>
      <x:c r="M583" s="46"/>
      <x:c r="N583" s="46"/>
      <x:c r="O583" s="46"/>
      <x:c r="P583" s="46"/>
    </x:row>
    <x:row r="584">
      <x:c r="K584" s="42"/>
      <x:c r="L584" s="42"/>
      <x:c r="M584" s="46"/>
      <x:c r="N584" s="46"/>
      <x:c r="O584" s="46"/>
      <x:c r="P584" s="46"/>
    </x:row>
    <x:row r="585">
      <x:c r="K585" s="42"/>
      <x:c r="L585" s="42"/>
      <x:c r="M585" s="46"/>
      <x:c r="N585" s="46"/>
      <x:c r="O585" s="46"/>
      <x:c r="P585" s="46"/>
    </x:row>
    <x:row r="586">
      <x:c r="K586" s="42"/>
      <x:c r="L586" s="42"/>
      <x:c r="M586" s="46"/>
      <x:c r="N586" s="46"/>
      <x:c r="O586" s="46"/>
      <x:c r="P586" s="46"/>
    </x:row>
    <x:row r="587">
      <x:c r="K587" s="42"/>
      <x:c r="L587" s="42"/>
      <x:c r="M587" s="46"/>
      <x:c r="N587" s="46"/>
      <x:c r="O587" s="46"/>
      <x:c r="P587" s="46"/>
    </x:row>
    <x:row r="588">
      <x:c r="K588" s="42"/>
      <x:c r="L588" s="42"/>
      <x:c r="M588" s="46"/>
      <x:c r="N588" s="46"/>
      <x:c r="O588" s="46"/>
      <x:c r="P588" s="46"/>
    </x:row>
    <x:row r="589">
      <x:c r="K589" s="42"/>
      <x:c r="L589" s="42"/>
      <x:c r="M589" s="46"/>
      <x:c r="N589" s="46"/>
      <x:c r="O589" s="46"/>
      <x:c r="P589" s="46"/>
    </x:row>
    <x:row r="590">
      <x:c r="K590" s="42"/>
      <x:c r="L590" s="42"/>
      <x:c r="M590" s="46"/>
      <x:c r="N590" s="46"/>
      <x:c r="O590" s="46"/>
      <x:c r="P590" s="46"/>
    </x:row>
    <x:row r="591">
      <x:c r="K591" s="42"/>
      <x:c r="L591" s="42"/>
      <x:c r="M591" s="46"/>
      <x:c r="N591" s="46"/>
      <x:c r="O591" s="46"/>
      <x:c r="P591" s="46"/>
    </x:row>
    <x:row r="592">
      <x:c r="K592" s="42"/>
      <x:c r="L592" s="42"/>
      <x:c r="M592" s="46"/>
      <x:c r="N592" s="46"/>
      <x:c r="O592" s="46"/>
      <x:c r="P592" s="46"/>
    </x:row>
    <x:row r="593">
      <x:c r="K593" s="42"/>
      <x:c r="L593" s="42"/>
      <x:c r="M593" s="46"/>
      <x:c r="N593" s="46"/>
      <x:c r="O593" s="46"/>
      <x:c r="P593" s="46"/>
    </x:row>
    <x:row r="594">
      <x:c r="K594" s="42"/>
      <x:c r="L594" s="42"/>
      <x:c r="M594" s="46"/>
      <x:c r="N594" s="46"/>
      <x:c r="O594" s="46"/>
      <x:c r="P594" s="46"/>
    </x:row>
    <x:row r="595">
      <x:c r="K595" s="42"/>
      <x:c r="L595" s="42"/>
      <x:c r="M595" s="46"/>
      <x:c r="N595" s="46"/>
      <x:c r="O595" s="46"/>
      <x:c r="P595" s="46"/>
    </x:row>
    <x:row r="596">
      <x:c r="K596" s="42"/>
      <x:c r="L596" s="42"/>
      <x:c r="M596" s="46"/>
      <x:c r="N596" s="46"/>
      <x:c r="O596" s="46"/>
      <x:c r="P596" s="46"/>
    </x:row>
    <x:row r="597">
      <x:c r="K597" s="42"/>
      <x:c r="L597" s="42"/>
      <x:c r="M597" s="46"/>
      <x:c r="N597" s="46"/>
      <x:c r="O597" s="46"/>
      <x:c r="P597" s="46"/>
    </x:row>
    <x:row r="598">
      <x:c r="K598" s="42"/>
      <x:c r="L598" s="42"/>
      <x:c r="M598" s="46"/>
      <x:c r="N598" s="46"/>
      <x:c r="O598" s="46"/>
      <x:c r="P598" s="46"/>
    </x:row>
    <x:row r="599">
      <x:c r="K599" s="42"/>
      <x:c r="L599" s="42"/>
      <x:c r="M599" s="46"/>
      <x:c r="N599" s="46"/>
      <x:c r="O599" s="46"/>
      <x:c r="P599" s="46"/>
    </x:row>
    <x:row r="600">
      <x:c r="K600" s="42"/>
      <x:c r="L600" s="42"/>
      <x:c r="M600" s="46"/>
      <x:c r="N600" s="46"/>
      <x:c r="O600" s="46"/>
      <x:c r="P600" s="46"/>
    </x:row>
    <x:row r="601">
      <x:c r="K601" s="42"/>
      <x:c r="L601" s="42"/>
      <x:c r="M601" s="46"/>
      <x:c r="N601" s="46"/>
      <x:c r="O601" s="46"/>
      <x:c r="P601" s="46"/>
    </x:row>
    <x:row r="602">
      <x:c r="K602" s="42"/>
      <x:c r="L602" s="42"/>
      <x:c r="M602" s="46"/>
      <x:c r="N602" s="46"/>
      <x:c r="O602" s="46"/>
      <x:c r="P602" s="46"/>
    </x:row>
    <x:row r="603">
      <x:c r="K603" s="42"/>
      <x:c r="L603" s="42"/>
      <x:c r="M603" s="46"/>
      <x:c r="N603" s="46"/>
      <x:c r="O603" s="46"/>
      <x:c r="P603" s="46"/>
    </x:row>
    <x:row r="604">
      <x:c r="K604" s="42"/>
      <x:c r="L604" s="42"/>
      <x:c r="M604" s="46"/>
      <x:c r="N604" s="46"/>
      <x:c r="O604" s="46"/>
      <x:c r="P604" s="46"/>
    </x:row>
    <x:row r="605">
      <x:c r="K605" s="42"/>
      <x:c r="L605" s="42"/>
      <x:c r="M605" s="46"/>
      <x:c r="N605" s="46"/>
      <x:c r="O605" s="46"/>
      <x:c r="P605" s="46"/>
    </x:row>
    <x:row r="606">
      <x:c r="K606" s="42"/>
      <x:c r="L606" s="42"/>
      <x:c r="M606" s="46"/>
      <x:c r="N606" s="46"/>
      <x:c r="O606" s="46"/>
      <x:c r="P606" s="46"/>
    </x:row>
    <x:row r="607">
      <x:c r="K607" s="42"/>
      <x:c r="L607" s="42"/>
      <x:c r="M607" s="46"/>
      <x:c r="N607" s="46"/>
      <x:c r="O607" s="46"/>
      <x:c r="P607" s="46"/>
    </x:row>
    <x:row r="608">
      <x:c r="K608" s="42"/>
      <x:c r="L608" s="42"/>
      <x:c r="M608" s="46"/>
      <x:c r="N608" s="46"/>
      <x:c r="O608" s="46"/>
      <x:c r="P608" s="46"/>
    </x:row>
    <x:row r="609">
      <x:c r="K609" s="42"/>
      <x:c r="L609" s="42"/>
      <x:c r="M609" s="46"/>
      <x:c r="N609" s="46"/>
      <x:c r="O609" s="46"/>
      <x:c r="P609" s="46"/>
    </x:row>
    <x:row r="610">
      <x:c r="K610" s="42"/>
      <x:c r="L610" s="42"/>
      <x:c r="M610" s="46"/>
      <x:c r="N610" s="46"/>
      <x:c r="O610" s="46"/>
      <x:c r="P610" s="46"/>
    </x:row>
    <x:row r="611">
      <x:c r="K611" s="42"/>
      <x:c r="L611" s="42"/>
      <x:c r="M611" s="46"/>
      <x:c r="N611" s="46"/>
      <x:c r="O611" s="46"/>
      <x:c r="P611" s="46"/>
    </x:row>
    <x:row r="612">
      <x:c r="K612" s="42"/>
      <x:c r="L612" s="42"/>
      <x:c r="M612" s="46"/>
      <x:c r="N612" s="46"/>
      <x:c r="O612" s="46"/>
      <x:c r="P612" s="46"/>
    </x:row>
    <x:row r="613">
      <x:c r="K613" s="42"/>
      <x:c r="L613" s="42"/>
      <x:c r="M613" s="46"/>
      <x:c r="N613" s="46"/>
      <x:c r="O613" s="46"/>
      <x:c r="P613" s="46"/>
    </x:row>
    <x:row r="614">
      <x:c r="K614" s="42"/>
      <x:c r="L614" s="42"/>
      <x:c r="M614" s="46"/>
      <x:c r="N614" s="46"/>
      <x:c r="O614" s="46"/>
      <x:c r="P614" s="46"/>
    </x:row>
    <x:row r="615">
      <x:c r="K615" s="42"/>
      <x:c r="L615" s="42"/>
      <x:c r="M615" s="46"/>
      <x:c r="N615" s="46"/>
      <x:c r="O615" s="46"/>
      <x:c r="P615" s="46"/>
    </x:row>
    <x:row r="616">
      <x:c r="K616" s="42"/>
      <x:c r="L616" s="42"/>
      <x:c r="M616" s="46"/>
      <x:c r="N616" s="46"/>
      <x:c r="O616" s="46"/>
      <x:c r="P616" s="46"/>
    </x:row>
    <x:row r="617">
      <x:c r="K617" s="42"/>
      <x:c r="L617" s="42"/>
      <x:c r="M617" s="46"/>
      <x:c r="N617" s="46"/>
      <x:c r="O617" s="46"/>
      <x:c r="P617" s="46"/>
    </x:row>
    <x:row r="618">
      <x:c r="K618" s="42"/>
      <x:c r="L618" s="42"/>
      <x:c r="M618" s="46"/>
      <x:c r="N618" s="46"/>
      <x:c r="O618" s="46"/>
      <x:c r="P618" s="46"/>
    </x:row>
    <x:row r="619">
      <x:c r="K619" s="42"/>
      <x:c r="L619" s="42"/>
      <x:c r="M619" s="46"/>
      <x:c r="N619" s="46"/>
      <x:c r="O619" s="46"/>
      <x:c r="P619" s="46"/>
    </x:row>
    <x:row r="620">
      <x:c r="K620" s="42"/>
      <x:c r="L620" s="42"/>
      <x:c r="M620" s="46"/>
      <x:c r="N620" s="46"/>
      <x:c r="O620" s="46"/>
      <x:c r="P620" s="46"/>
    </x:row>
    <x:row r="621">
      <x:c r="K621" s="42"/>
      <x:c r="L621" s="42"/>
      <x:c r="M621" s="46"/>
      <x:c r="N621" s="46"/>
      <x:c r="O621" s="46"/>
      <x:c r="P621" s="46"/>
    </x:row>
    <x:row r="622">
      <x:c r="K622" s="42"/>
      <x:c r="L622" s="42"/>
      <x:c r="M622" s="46"/>
      <x:c r="N622" s="46"/>
      <x:c r="O622" s="46"/>
      <x:c r="P622" s="46"/>
    </x:row>
    <x:row r="623">
      <x:c r="K623" s="42"/>
      <x:c r="L623" s="42"/>
      <x:c r="M623" s="46"/>
      <x:c r="N623" s="46"/>
      <x:c r="O623" s="46"/>
      <x:c r="P623" s="46"/>
    </x:row>
    <x:row r="624">
      <x:c r="K624" s="42"/>
      <x:c r="L624" s="42"/>
      <x:c r="M624" s="46"/>
      <x:c r="N624" s="46"/>
      <x:c r="O624" s="46"/>
      <x:c r="P624" s="46"/>
    </x:row>
    <x:row r="625">
      <x:c r="K625" s="42"/>
      <x:c r="L625" s="42"/>
      <x:c r="M625" s="46"/>
      <x:c r="N625" s="46"/>
      <x:c r="O625" s="46"/>
      <x:c r="P625" s="46"/>
    </x:row>
    <x:row r="626">
      <x:c r="K626" s="42"/>
      <x:c r="L626" s="42"/>
      <x:c r="M626" s="46"/>
      <x:c r="N626" s="46"/>
      <x:c r="O626" s="46"/>
      <x:c r="P626" s="46"/>
    </x:row>
    <x:row r="627">
      <x:c r="K627" s="42"/>
      <x:c r="L627" s="42"/>
      <x:c r="M627" s="46"/>
      <x:c r="N627" s="46"/>
      <x:c r="O627" s="46"/>
      <x:c r="P627" s="46"/>
    </x:row>
    <x:row r="628">
      <x:c r="K628" s="42"/>
      <x:c r="L628" s="42"/>
      <x:c r="M628" s="46"/>
      <x:c r="N628" s="46"/>
      <x:c r="O628" s="46"/>
      <x:c r="P628" s="46"/>
    </x:row>
    <x:row r="629">
      <x:c r="K629" s="42"/>
      <x:c r="L629" s="42"/>
      <x:c r="M629" s="46"/>
      <x:c r="N629" s="46"/>
      <x:c r="O629" s="46"/>
      <x:c r="P629" s="46"/>
    </x:row>
    <x:row r="630">
      <x:c r="K630" s="42"/>
      <x:c r="L630" s="42"/>
      <x:c r="M630" s="46"/>
      <x:c r="N630" s="46"/>
      <x:c r="O630" s="46"/>
      <x:c r="P630" s="46"/>
    </x:row>
    <x:row r="631">
      <x:c r="K631" s="42"/>
      <x:c r="L631" s="42"/>
      <x:c r="M631" s="46"/>
      <x:c r="N631" s="46"/>
      <x:c r="O631" s="46"/>
      <x:c r="P631" s="46"/>
    </x:row>
    <x:row r="632">
      <x:c r="K632" s="42"/>
      <x:c r="L632" s="42"/>
      <x:c r="M632" s="46"/>
      <x:c r="N632" s="46"/>
      <x:c r="O632" s="46"/>
      <x:c r="P632" s="46"/>
    </x:row>
    <x:row r="633">
      <x:c r="K633" s="42"/>
      <x:c r="L633" s="42"/>
      <x:c r="M633" s="46"/>
      <x:c r="N633" s="46"/>
      <x:c r="O633" s="46"/>
      <x:c r="P633" s="46"/>
    </x:row>
    <x:row r="634">
      <x:c r="K634" s="42"/>
      <x:c r="L634" s="42"/>
      <x:c r="M634" s="46"/>
      <x:c r="N634" s="46"/>
      <x:c r="O634" s="46"/>
      <x:c r="P634" s="46"/>
    </x:row>
    <x:row r="635">
      <x:c r="K635" s="42"/>
      <x:c r="L635" s="42"/>
      <x:c r="M635" s="46"/>
      <x:c r="N635" s="46"/>
      <x:c r="O635" s="46"/>
      <x:c r="P635" s="46"/>
    </x:row>
    <x:row r="636">
      <x:c r="K636" s="42"/>
      <x:c r="L636" s="42"/>
      <x:c r="M636" s="46"/>
      <x:c r="N636" s="46"/>
      <x:c r="O636" s="46"/>
      <x:c r="P636" s="46"/>
    </x:row>
    <x:row r="637">
      <x:c r="K637" s="42"/>
      <x:c r="L637" s="42"/>
      <x:c r="M637" s="46"/>
      <x:c r="N637" s="46"/>
      <x:c r="O637" s="46"/>
      <x:c r="P637" s="46"/>
    </x:row>
    <x:row r="638">
      <x:c r="K638" s="42"/>
      <x:c r="L638" s="42"/>
      <x:c r="M638" s="46"/>
      <x:c r="N638" s="46"/>
      <x:c r="O638" s="46"/>
      <x:c r="P638" s="46"/>
    </x:row>
    <x:row r="639">
      <x:c r="K639" s="42"/>
      <x:c r="L639" s="42"/>
      <x:c r="M639" s="46"/>
      <x:c r="N639" s="46"/>
      <x:c r="O639" s="46"/>
      <x:c r="P639" s="46"/>
    </x:row>
    <x:row r="640">
      <x:c r="K640" s="42"/>
      <x:c r="L640" s="42"/>
      <x:c r="M640" s="46"/>
      <x:c r="N640" s="46"/>
      <x:c r="O640" s="46"/>
      <x:c r="P640" s="46"/>
    </x:row>
    <x:row r="641">
      <x:c r="K641" s="42"/>
      <x:c r="L641" s="42"/>
      <x:c r="M641" s="46"/>
      <x:c r="N641" s="46"/>
      <x:c r="O641" s="46"/>
      <x:c r="P641" s="46"/>
    </x:row>
    <x:row r="642">
      <x:c r="K642" s="42"/>
      <x:c r="L642" s="42"/>
      <x:c r="M642" s="46"/>
      <x:c r="N642" s="46"/>
      <x:c r="O642" s="46"/>
      <x:c r="P642" s="46"/>
    </x:row>
    <x:row r="643">
      <x:c r="K643" s="42"/>
      <x:c r="L643" s="42"/>
      <x:c r="M643" s="46"/>
      <x:c r="N643" s="46"/>
      <x:c r="O643" s="46"/>
      <x:c r="P643" s="46"/>
    </x:row>
    <x:row r="644">
      <x:c r="K644" s="42"/>
      <x:c r="L644" s="42"/>
      <x:c r="M644" s="46"/>
      <x:c r="N644" s="46"/>
      <x:c r="O644" s="46"/>
      <x:c r="P644" s="46"/>
    </x:row>
    <x:row r="645">
      <x:c r="K645" s="42"/>
      <x:c r="L645" s="42"/>
      <x:c r="M645" s="46"/>
      <x:c r="N645" s="46"/>
      <x:c r="O645" s="46"/>
      <x:c r="P645" s="46"/>
    </x:row>
    <x:row r="646">
      <x:c r="K646" s="42"/>
      <x:c r="L646" s="42"/>
      <x:c r="M646" s="46"/>
      <x:c r="N646" s="46"/>
      <x:c r="O646" s="46"/>
      <x:c r="P646" s="46"/>
    </x:row>
    <x:row r="647">
      <x:c r="K647" s="42"/>
      <x:c r="L647" s="42"/>
      <x:c r="M647" s="46"/>
      <x:c r="N647" s="46"/>
      <x:c r="O647" s="46"/>
      <x:c r="P647" s="46"/>
    </x:row>
    <x:row r="648">
      <x:c r="K648" s="42"/>
      <x:c r="L648" s="42"/>
      <x:c r="M648" s="46"/>
      <x:c r="N648" s="46"/>
      <x:c r="O648" s="46"/>
      <x:c r="P648" s="46"/>
    </x:row>
    <x:row r="649">
      <x:c r="K649" s="42"/>
      <x:c r="L649" s="42"/>
      <x:c r="M649" s="46"/>
      <x:c r="N649" s="46"/>
      <x:c r="O649" s="46"/>
      <x:c r="P649" s="46"/>
    </x:row>
    <x:row r="650">
      <x:c r="K650" s="42"/>
      <x:c r="L650" s="42"/>
      <x:c r="M650" s="46"/>
      <x:c r="N650" s="46"/>
      <x:c r="O650" s="46"/>
      <x:c r="P650" s="46"/>
    </x:row>
    <x:row r="651">
      <x:c r="K651" s="42"/>
      <x:c r="L651" s="42"/>
      <x:c r="M651" s="46"/>
      <x:c r="N651" s="46"/>
      <x:c r="O651" s="46"/>
      <x:c r="P651" s="46"/>
    </x:row>
    <x:row r="652">
      <x:c r="K652" s="42"/>
      <x:c r="L652" s="42"/>
      <x:c r="M652" s="46"/>
      <x:c r="N652" s="46"/>
      <x:c r="O652" s="46"/>
      <x:c r="P652" s="46"/>
    </x:row>
    <x:row r="653">
      <x:c r="K653" s="42"/>
      <x:c r="L653" s="42"/>
      <x:c r="M653" s="46"/>
      <x:c r="N653" s="46"/>
      <x:c r="O653" s="46"/>
      <x:c r="P653" s="46"/>
    </x:row>
    <x:row r="654">
      <x:c r="K654" s="42"/>
      <x:c r="L654" s="42"/>
      <x:c r="M654" s="46"/>
      <x:c r="N654" s="46"/>
      <x:c r="O654" s="46"/>
      <x:c r="P654" s="46"/>
    </x:row>
    <x:row r="655">
      <x:c r="K655" s="42"/>
      <x:c r="L655" s="42"/>
      <x:c r="M655" s="46"/>
      <x:c r="N655" s="46"/>
      <x:c r="O655" s="46"/>
      <x:c r="P655" s="46"/>
    </x:row>
    <x:row r="656">
      <x:c r="K656" s="42"/>
      <x:c r="L656" s="42"/>
      <x:c r="M656" s="46"/>
      <x:c r="N656" s="46"/>
      <x:c r="O656" s="46"/>
      <x:c r="P656" s="46"/>
    </x:row>
    <x:row r="657">
      <x:c r="K657" s="42"/>
      <x:c r="L657" s="42"/>
      <x:c r="M657" s="46"/>
      <x:c r="N657" s="46"/>
      <x:c r="O657" s="46"/>
      <x:c r="P657" s="46"/>
    </x:row>
    <x:row r="658">
      <x:c r="K658" s="42"/>
      <x:c r="L658" s="42"/>
      <x:c r="M658" s="46"/>
      <x:c r="N658" s="46"/>
      <x:c r="O658" s="46"/>
      <x:c r="P658" s="46"/>
    </x:row>
    <x:row r="659">
      <x:c r="K659" s="42"/>
      <x:c r="L659" s="42"/>
      <x:c r="M659" s="46"/>
      <x:c r="N659" s="46"/>
      <x:c r="O659" s="46"/>
      <x:c r="P659" s="46"/>
    </x:row>
    <x:row r="660">
      <x:c r="K660" s="42"/>
      <x:c r="L660" s="42"/>
      <x:c r="M660" s="46"/>
      <x:c r="N660" s="46"/>
      <x:c r="O660" s="46"/>
      <x:c r="P660" s="46"/>
    </x:row>
    <x:row r="661">
      <x:c r="K661" s="42"/>
      <x:c r="L661" s="42"/>
      <x:c r="M661" s="46"/>
      <x:c r="N661" s="46"/>
      <x:c r="O661" s="46"/>
      <x:c r="P661" s="46"/>
    </x:row>
    <x:row r="662">
      <x:c r="K662" s="42"/>
      <x:c r="L662" s="42"/>
      <x:c r="M662" s="46"/>
      <x:c r="N662" s="46"/>
      <x:c r="O662" s="46"/>
      <x:c r="P662" s="46"/>
    </x:row>
    <x:row r="663">
      <x:c r="K663" s="42"/>
      <x:c r="L663" s="42"/>
      <x:c r="M663" s="46"/>
      <x:c r="N663" s="46"/>
      <x:c r="O663" s="46"/>
      <x:c r="P663" s="46"/>
    </x:row>
    <x:row r="664">
      <x:c r="K664" s="42"/>
      <x:c r="L664" s="42"/>
      <x:c r="M664" s="46"/>
      <x:c r="N664" s="46"/>
      <x:c r="O664" s="46"/>
      <x:c r="P664" s="46"/>
    </x:row>
    <x:row r="665">
      <x:c r="K665" s="42"/>
      <x:c r="L665" s="42"/>
      <x:c r="M665" s="46"/>
      <x:c r="N665" s="46"/>
      <x:c r="O665" s="46"/>
      <x:c r="P665" s="46"/>
    </x:row>
    <x:row r="666">
      <x:c r="K666" s="42"/>
      <x:c r="L666" s="42"/>
      <x:c r="M666" s="46"/>
      <x:c r="N666" s="46"/>
      <x:c r="O666" s="46"/>
      <x:c r="P666" s="46"/>
    </x:row>
    <x:row r="667">
      <x:c r="K667" s="42"/>
      <x:c r="L667" s="42"/>
      <x:c r="M667" s="46"/>
      <x:c r="N667" s="46"/>
      <x:c r="O667" s="46"/>
      <x:c r="P667" s="46"/>
    </x:row>
    <x:row r="668">
      <x:c r="K668" s="42"/>
      <x:c r="L668" s="42"/>
      <x:c r="M668" s="46"/>
      <x:c r="N668" s="46"/>
      <x:c r="O668" s="46"/>
      <x:c r="P668" s="46"/>
    </x:row>
    <x:row r="669">
      <x:c r="K669" s="42"/>
      <x:c r="L669" s="42"/>
      <x:c r="M669" s="46"/>
      <x:c r="N669" s="46"/>
      <x:c r="O669" s="46"/>
      <x:c r="P669" s="46"/>
    </x:row>
    <x:row r="670">
      <x:c r="K670" s="42"/>
      <x:c r="L670" s="42"/>
      <x:c r="M670" s="46"/>
      <x:c r="N670" s="46"/>
      <x:c r="O670" s="46"/>
      <x:c r="P670" s="46"/>
    </x:row>
    <x:row r="671">
      <x:c r="K671" s="42"/>
      <x:c r="L671" s="42"/>
      <x:c r="M671" s="46"/>
      <x:c r="N671" s="46"/>
      <x:c r="O671" s="46"/>
      <x:c r="P671" s="46"/>
    </x:row>
    <x:row r="672">
      <x:c r="K672" s="42"/>
      <x:c r="L672" s="42"/>
      <x:c r="M672" s="46"/>
      <x:c r="N672" s="46"/>
      <x:c r="O672" s="46"/>
      <x:c r="P672" s="46"/>
    </x:row>
    <x:row r="673">
      <x:c r="K673" s="42"/>
      <x:c r="L673" s="42"/>
      <x:c r="M673" s="46"/>
      <x:c r="N673" s="46"/>
      <x:c r="O673" s="46"/>
      <x:c r="P673" s="46"/>
    </x:row>
    <x:row r="674">
      <x:c r="K674" s="42"/>
      <x:c r="L674" s="42"/>
      <x:c r="M674" s="46"/>
      <x:c r="N674" s="46"/>
      <x:c r="O674" s="46"/>
      <x:c r="P674" s="46"/>
    </x:row>
    <x:row r="675">
      <x:c r="K675" s="42"/>
      <x:c r="L675" s="42"/>
      <x:c r="M675" s="46"/>
      <x:c r="N675" s="46"/>
      <x:c r="O675" s="46"/>
      <x:c r="P675" s="46"/>
    </x:row>
    <x:row r="676">
      <x:c r="K676" s="42"/>
      <x:c r="L676" s="42"/>
      <x:c r="M676" s="46"/>
      <x:c r="N676" s="46"/>
      <x:c r="O676" s="46"/>
      <x:c r="P676" s="46"/>
    </x:row>
    <x:row r="677">
      <x:c r="K677" s="42"/>
      <x:c r="L677" s="42"/>
      <x:c r="M677" s="46"/>
      <x:c r="N677" s="46"/>
      <x:c r="O677" s="46"/>
      <x:c r="P677" s="46"/>
    </x:row>
    <x:row r="678">
      <x:c r="K678" s="42"/>
      <x:c r="L678" s="42"/>
      <x:c r="M678" s="46"/>
      <x:c r="N678" s="46"/>
      <x:c r="O678" s="46"/>
      <x:c r="P678" s="46"/>
    </x:row>
    <x:row r="679">
      <x:c r="K679" s="42"/>
      <x:c r="L679" s="42"/>
      <x:c r="M679" s="46"/>
      <x:c r="N679" s="46"/>
      <x:c r="O679" s="46"/>
      <x:c r="P679" s="46"/>
    </x:row>
    <x:row r="680">
      <x:c r="K680" s="42"/>
      <x:c r="L680" s="42"/>
      <x:c r="M680" s="46"/>
      <x:c r="N680" s="46"/>
      <x:c r="O680" s="46"/>
      <x:c r="P680" s="46"/>
    </x:row>
    <x:row r="681">
      <x:c r="K681" s="42"/>
      <x:c r="L681" s="42"/>
      <x:c r="M681" s="46"/>
      <x:c r="N681" s="46"/>
      <x:c r="O681" s="46"/>
      <x:c r="P681" s="46"/>
    </x:row>
    <x:row r="682">
      <x:c r="K682" s="42"/>
      <x:c r="L682" s="42"/>
      <x:c r="M682" s="46"/>
      <x:c r="N682" s="46"/>
      <x:c r="O682" s="46"/>
      <x:c r="P682" s="46"/>
    </x:row>
    <x:row r="683">
      <x:c r="K683" s="42"/>
      <x:c r="L683" s="42"/>
      <x:c r="M683" s="46"/>
      <x:c r="N683" s="46"/>
      <x:c r="O683" s="46"/>
      <x:c r="P683" s="46"/>
    </x:row>
    <x:row r="684">
      <x:c r="K684" s="42"/>
      <x:c r="L684" s="42"/>
      <x:c r="M684" s="46"/>
      <x:c r="N684" s="46"/>
      <x:c r="O684" s="46"/>
      <x:c r="P684" s="46"/>
    </x:row>
    <x:row r="685">
      <x:c r="K685" s="42"/>
      <x:c r="L685" s="42"/>
      <x:c r="M685" s="46"/>
      <x:c r="N685" s="46"/>
      <x:c r="O685" s="46"/>
      <x:c r="P685" s="46"/>
    </x:row>
    <x:row r="686">
      <x:c r="K686" s="42"/>
      <x:c r="L686" s="42"/>
      <x:c r="M686" s="46"/>
      <x:c r="N686" s="46"/>
      <x:c r="O686" s="46"/>
      <x:c r="P686" s="46"/>
    </x:row>
    <x:row r="687">
      <x:c r="K687" s="42"/>
      <x:c r="L687" s="42"/>
      <x:c r="M687" s="46"/>
      <x:c r="N687" s="46"/>
      <x:c r="O687" s="46"/>
      <x:c r="P687" s="46"/>
    </x:row>
    <x:row r="688">
      <x:c r="K688" s="42"/>
      <x:c r="L688" s="42"/>
      <x:c r="M688" s="46"/>
      <x:c r="N688" s="46"/>
      <x:c r="O688" s="46"/>
      <x:c r="P688" s="46"/>
    </x:row>
    <x:row r="689">
      <x:c r="K689" s="42"/>
      <x:c r="L689" s="42"/>
      <x:c r="M689" s="46"/>
      <x:c r="N689" s="46"/>
      <x:c r="O689" s="46"/>
      <x:c r="P689" s="46"/>
    </x:row>
    <x:row r="690">
      <x:c r="K690" s="42"/>
      <x:c r="L690" s="42"/>
      <x:c r="M690" s="46"/>
      <x:c r="N690" s="46"/>
      <x:c r="O690" s="46"/>
      <x:c r="P690" s="46"/>
    </x:row>
    <x:row r="691">
      <x:c r="K691" s="42"/>
      <x:c r="L691" s="42"/>
      <x:c r="M691" s="46"/>
      <x:c r="N691" s="46"/>
      <x:c r="O691" s="46"/>
      <x:c r="P691" s="46"/>
    </x:row>
    <x:row r="692">
      <x:c r="K692" s="42"/>
      <x:c r="L692" s="42"/>
      <x:c r="M692" s="46"/>
      <x:c r="N692" s="46"/>
      <x:c r="O692" s="46"/>
      <x:c r="P692" s="46"/>
    </x:row>
    <x:row r="693">
      <x:c r="K693" s="42"/>
      <x:c r="L693" s="42"/>
      <x:c r="M693" s="46"/>
      <x:c r="N693" s="46"/>
      <x:c r="O693" s="46"/>
      <x:c r="P693" s="46"/>
    </x:row>
    <x:row r="694">
      <x:c r="K694" s="42"/>
      <x:c r="L694" s="42"/>
      <x:c r="M694" s="46"/>
      <x:c r="N694" s="46"/>
      <x:c r="O694" s="46"/>
      <x:c r="P694" s="46"/>
    </x:row>
    <x:row r="695">
      <x:c r="K695" s="42"/>
      <x:c r="L695" s="42"/>
      <x:c r="M695" s="46"/>
      <x:c r="N695" s="46"/>
      <x:c r="O695" s="46"/>
      <x:c r="P695" s="46"/>
    </x:row>
    <x:row r="696">
      <x:c r="K696" s="42"/>
      <x:c r="L696" s="42"/>
      <x:c r="M696" s="46"/>
      <x:c r="N696" s="46"/>
      <x:c r="O696" s="46"/>
      <x:c r="P696" s="46"/>
    </x:row>
    <x:row r="697">
      <x:c r="K697" s="42"/>
      <x:c r="L697" s="42"/>
      <x:c r="M697" s="46"/>
      <x:c r="N697" s="46"/>
      <x:c r="O697" s="46"/>
      <x:c r="P697" s="46"/>
    </x:row>
    <x:row r="698">
      <x:c r="K698" s="42"/>
      <x:c r="L698" s="42"/>
      <x:c r="M698" s="46"/>
      <x:c r="N698" s="46"/>
      <x:c r="O698" s="46"/>
      <x:c r="P698" s="46"/>
    </x:row>
    <x:row r="699">
      <x:c r="K699" s="42"/>
      <x:c r="L699" s="42"/>
      <x:c r="M699" s="46"/>
      <x:c r="N699" s="46"/>
      <x:c r="O699" s="46"/>
      <x:c r="P699" s="46"/>
    </x:row>
    <x:row r="700">
      <x:c r="K700" s="42"/>
      <x:c r="L700" s="42"/>
      <x:c r="M700" s="46"/>
      <x:c r="N700" s="46"/>
      <x:c r="O700" s="46"/>
      <x:c r="P700" s="46"/>
    </x:row>
    <x:row r="701">
      <x:c r="K701" s="42"/>
      <x:c r="L701" s="42"/>
      <x:c r="M701" s="46"/>
      <x:c r="N701" s="46"/>
      <x:c r="O701" s="46"/>
      <x:c r="P701" s="46"/>
    </x:row>
    <x:row r="702">
      <x:c r="K702" s="42"/>
      <x:c r="L702" s="42"/>
      <x:c r="M702" s="46"/>
      <x:c r="N702" s="46"/>
      <x:c r="O702" s="46"/>
      <x:c r="P702" s="46"/>
    </x:row>
    <x:row r="703">
      <x:c r="K703" s="42"/>
      <x:c r="L703" s="42"/>
      <x:c r="M703" s="46"/>
      <x:c r="N703" s="46"/>
      <x:c r="O703" s="46"/>
      <x:c r="P703" s="46"/>
    </x:row>
    <x:row r="704">
      <x:c r="K704" s="42"/>
      <x:c r="L704" s="42"/>
      <x:c r="M704" s="46"/>
      <x:c r="N704" s="46"/>
      <x:c r="O704" s="46"/>
      <x:c r="P704" s="46"/>
    </x:row>
    <x:row r="705">
      <x:c r="K705" s="42"/>
      <x:c r="L705" s="42"/>
      <x:c r="M705" s="46"/>
      <x:c r="N705" s="46"/>
      <x:c r="O705" s="46"/>
      <x:c r="P705" s="46"/>
    </x:row>
    <x:row r="706">
      <x:c r="K706" s="42"/>
      <x:c r="L706" s="42"/>
      <x:c r="M706" s="46"/>
      <x:c r="N706" s="46"/>
      <x:c r="O706" s="46"/>
      <x:c r="P706" s="46"/>
    </x:row>
    <x:row r="707">
      <x:c r="K707" s="42"/>
      <x:c r="L707" s="42"/>
      <x:c r="M707" s="46"/>
      <x:c r="N707" s="46"/>
      <x:c r="O707" s="46"/>
      <x:c r="P707" s="46"/>
    </x:row>
    <x:row r="708">
      <x:c r="K708" s="42"/>
      <x:c r="L708" s="42"/>
      <x:c r="M708" s="46"/>
      <x:c r="N708" s="46"/>
      <x:c r="O708" s="46"/>
      <x:c r="P708" s="46"/>
    </x:row>
    <x:row r="709">
      <x:c r="K709" s="42"/>
      <x:c r="L709" s="42"/>
      <x:c r="M709" s="46"/>
      <x:c r="N709" s="46"/>
      <x:c r="O709" s="46"/>
      <x:c r="P709" s="46"/>
    </x:row>
    <x:row r="710">
      <x:c r="K710" s="42"/>
      <x:c r="L710" s="42"/>
      <x:c r="M710" s="46"/>
      <x:c r="N710" s="46"/>
      <x:c r="O710" s="46"/>
      <x:c r="P710" s="46"/>
    </x:row>
    <x:row r="711">
      <x:c r="K711" s="42"/>
      <x:c r="L711" s="42"/>
      <x:c r="M711" s="46"/>
      <x:c r="N711" s="46"/>
      <x:c r="O711" s="46"/>
      <x:c r="P711" s="46"/>
    </x:row>
    <x:row r="712">
      <x:c r="K712" s="42"/>
      <x:c r="L712" s="42"/>
      <x:c r="M712" s="46"/>
      <x:c r="N712" s="46"/>
      <x:c r="O712" s="46"/>
      <x:c r="P712" s="46"/>
    </x:row>
    <x:row r="713">
      <x:c r="K713" s="42"/>
      <x:c r="L713" s="42"/>
      <x:c r="M713" s="46"/>
      <x:c r="N713" s="46"/>
      <x:c r="O713" s="46"/>
      <x:c r="P713" s="46"/>
    </x:row>
    <x:row r="714">
      <x:c r="K714" s="42"/>
      <x:c r="L714" s="42"/>
      <x:c r="M714" s="46"/>
      <x:c r="N714" s="46"/>
      <x:c r="O714" s="46"/>
      <x:c r="P714" s="46"/>
    </x:row>
    <x:row r="715">
      <x:c r="K715" s="42"/>
      <x:c r="L715" s="42"/>
      <x:c r="M715" s="46"/>
      <x:c r="N715" s="46"/>
      <x:c r="O715" s="46"/>
      <x:c r="P715" s="46"/>
    </x:row>
    <x:row r="716">
      <x:c r="K716" s="42"/>
      <x:c r="L716" s="42"/>
      <x:c r="M716" s="46"/>
      <x:c r="N716" s="46"/>
      <x:c r="O716" s="46"/>
      <x:c r="P716" s="46"/>
    </x:row>
    <x:row r="717">
      <x:c r="K717" s="42"/>
      <x:c r="L717" s="42"/>
      <x:c r="M717" s="46"/>
      <x:c r="N717" s="46"/>
      <x:c r="O717" s="46"/>
      <x:c r="P717" s="46"/>
    </x:row>
    <x:row r="718">
      <x:c r="K718" s="42"/>
      <x:c r="L718" s="42"/>
      <x:c r="M718" s="46"/>
      <x:c r="N718" s="46"/>
      <x:c r="O718" s="46"/>
      <x:c r="P718" s="46"/>
    </x:row>
    <x:row r="719">
      <x:c r="K719" s="42"/>
      <x:c r="L719" s="42"/>
      <x:c r="M719" s="46"/>
      <x:c r="N719" s="46"/>
      <x:c r="O719" s="46"/>
      <x:c r="P719" s="46"/>
    </x:row>
    <x:row r="720">
      <x:c r="K720" s="42"/>
      <x:c r="L720" s="42"/>
      <x:c r="M720" s="46"/>
      <x:c r="N720" s="46"/>
      <x:c r="O720" s="46"/>
      <x:c r="P720" s="46"/>
    </x:row>
    <x:row r="721">
      <x:c r="K721" s="42"/>
      <x:c r="L721" s="42"/>
      <x:c r="M721" s="46"/>
      <x:c r="N721" s="46"/>
      <x:c r="O721" s="46"/>
      <x:c r="P721" s="46"/>
    </x:row>
    <x:row r="722">
      <x:c r="K722" s="42"/>
      <x:c r="L722" s="42"/>
      <x:c r="M722" s="46"/>
      <x:c r="N722" s="46"/>
      <x:c r="O722" s="46"/>
      <x:c r="P722" s="46"/>
    </x:row>
    <x:row r="723">
      <x:c r="K723" s="42"/>
      <x:c r="L723" s="42"/>
      <x:c r="M723" s="46"/>
      <x:c r="N723" s="46"/>
      <x:c r="O723" s="46"/>
      <x:c r="P723" s="46"/>
    </x:row>
    <x:row r="724">
      <x:c r="K724" s="42"/>
      <x:c r="L724" s="42"/>
      <x:c r="M724" s="46"/>
      <x:c r="N724" s="46"/>
      <x:c r="O724" s="46"/>
      <x:c r="P724" s="46"/>
    </x:row>
    <x:row r="725">
      <x:c r="K725" s="42"/>
      <x:c r="L725" s="42"/>
      <x:c r="M725" s="46"/>
      <x:c r="N725" s="46"/>
      <x:c r="O725" s="46"/>
      <x:c r="P725" s="46"/>
    </x:row>
    <x:row r="726">
      <x:c r="K726" s="42"/>
      <x:c r="L726" s="42"/>
      <x:c r="M726" s="46"/>
      <x:c r="N726" s="46"/>
      <x:c r="O726" s="46"/>
      <x:c r="P726" s="46"/>
    </x:row>
    <x:row r="727">
      <x:c r="K727" s="42"/>
      <x:c r="L727" s="42"/>
      <x:c r="M727" s="46"/>
      <x:c r="N727" s="46"/>
      <x:c r="O727" s="46"/>
      <x:c r="P727" s="46"/>
    </x:row>
    <x:row r="728">
      <x:c r="K728" s="42"/>
      <x:c r="L728" s="42"/>
      <x:c r="M728" s="46"/>
      <x:c r="N728" s="46"/>
      <x:c r="O728" s="46"/>
      <x:c r="P728" s="46"/>
    </x:row>
    <x:row r="729">
      <x:c r="K729" s="42"/>
      <x:c r="L729" s="42"/>
      <x:c r="M729" s="46"/>
      <x:c r="N729" s="46"/>
      <x:c r="O729" s="46"/>
      <x:c r="P729" s="46"/>
    </x:row>
    <x:row r="730">
      <x:c r="K730" s="42"/>
      <x:c r="L730" s="42"/>
      <x:c r="M730" s="46"/>
      <x:c r="N730" s="46"/>
      <x:c r="O730" s="46"/>
      <x:c r="P730" s="46"/>
    </x:row>
    <x:row r="731">
      <x:c r="K731" s="42"/>
      <x:c r="L731" s="42"/>
      <x:c r="M731" s="46"/>
      <x:c r="N731" s="46"/>
      <x:c r="O731" s="46"/>
      <x:c r="P731" s="46"/>
    </x:row>
    <x:row r="732">
      <x:c r="K732" s="42"/>
      <x:c r="L732" s="42"/>
      <x:c r="M732" s="46"/>
      <x:c r="N732" s="46"/>
      <x:c r="O732" s="46"/>
      <x:c r="P732" s="46"/>
    </x:row>
    <x:row r="733">
      <x:c r="K733" s="42"/>
      <x:c r="L733" s="42"/>
      <x:c r="M733" s="46"/>
      <x:c r="N733" s="46"/>
      <x:c r="O733" s="46"/>
      <x:c r="P733" s="46"/>
    </x:row>
    <x:row r="734">
      <x:c r="K734" s="42"/>
      <x:c r="L734" s="42"/>
      <x:c r="M734" s="46"/>
      <x:c r="N734" s="46"/>
      <x:c r="O734" s="46"/>
      <x:c r="P734" s="46"/>
    </x:row>
    <x:row r="735">
      <x:c r="K735" s="42"/>
      <x:c r="L735" s="42"/>
      <x:c r="M735" s="46"/>
      <x:c r="N735" s="46"/>
      <x:c r="O735" s="46"/>
      <x:c r="P735" s="46"/>
    </x:row>
    <x:row r="736">
      <x:c r="K736" s="42"/>
      <x:c r="L736" s="42"/>
      <x:c r="M736" s="46"/>
      <x:c r="N736" s="46"/>
      <x:c r="O736" s="46"/>
      <x:c r="P736" s="46"/>
    </x:row>
    <x:row r="737">
      <x:c r="K737" s="42"/>
      <x:c r="L737" s="42"/>
      <x:c r="M737" s="46"/>
      <x:c r="N737" s="46"/>
      <x:c r="O737" s="46"/>
      <x:c r="P737" s="46"/>
    </x:row>
    <x:row r="738">
      <x:c r="K738" s="42"/>
      <x:c r="L738" s="42"/>
      <x:c r="M738" s="46"/>
      <x:c r="N738" s="46"/>
      <x:c r="O738" s="46"/>
      <x:c r="P738" s="46"/>
    </x:row>
    <x:row r="739">
      <x:c r="K739" s="42"/>
      <x:c r="L739" s="42"/>
      <x:c r="M739" s="46"/>
      <x:c r="N739" s="46"/>
      <x:c r="O739" s="46"/>
      <x:c r="P739" s="46"/>
    </x:row>
    <x:row r="740">
      <x:c r="K740" s="42"/>
      <x:c r="L740" s="42"/>
      <x:c r="M740" s="46"/>
      <x:c r="N740" s="46"/>
      <x:c r="O740" s="46"/>
      <x:c r="P740" s="46"/>
    </x:row>
    <x:row r="741">
      <x:c r="K741" s="42"/>
      <x:c r="L741" s="42"/>
      <x:c r="M741" s="46"/>
      <x:c r="N741" s="46"/>
      <x:c r="O741" s="46"/>
      <x:c r="P741" s="46"/>
    </x:row>
    <x:row r="742">
      <x:c r="K742" s="42"/>
      <x:c r="L742" s="42"/>
      <x:c r="M742" s="46"/>
      <x:c r="N742" s="46"/>
      <x:c r="O742" s="46"/>
      <x:c r="P742" s="46"/>
    </x:row>
    <x:row r="743">
      <x:c r="K743" s="42"/>
      <x:c r="L743" s="42"/>
      <x:c r="M743" s="46"/>
      <x:c r="N743" s="46"/>
      <x:c r="O743" s="46"/>
      <x:c r="P743" s="46"/>
    </x:row>
    <x:row r="744">
      <x:c r="K744" s="42"/>
      <x:c r="L744" s="42"/>
      <x:c r="M744" s="46"/>
      <x:c r="N744" s="46"/>
      <x:c r="O744" s="46"/>
      <x:c r="P744" s="46"/>
    </x:row>
    <x:row r="745">
      <x:c r="K745" s="42"/>
      <x:c r="L745" s="42"/>
      <x:c r="M745" s="46"/>
      <x:c r="N745" s="46"/>
      <x:c r="O745" s="46"/>
      <x:c r="P745" s="46"/>
    </x:row>
    <x:row r="746">
      <x:c r="K746" s="42"/>
      <x:c r="L746" s="42"/>
      <x:c r="M746" s="46"/>
      <x:c r="N746" s="46"/>
      <x:c r="O746" s="46"/>
      <x:c r="P746" s="46"/>
    </x:row>
    <x:row r="747">
      <x:c r="K747" s="42"/>
      <x:c r="L747" s="42"/>
      <x:c r="M747" s="46"/>
      <x:c r="N747" s="46"/>
      <x:c r="O747" s="46"/>
      <x:c r="P747" s="46"/>
    </x:row>
    <x:row r="748">
      <x:c r="K748" s="42"/>
      <x:c r="L748" s="42"/>
      <x:c r="M748" s="46"/>
      <x:c r="N748" s="46"/>
      <x:c r="O748" s="46"/>
      <x:c r="P748" s="46"/>
    </x:row>
    <x:row r="749">
      <x:c r="K749" s="42"/>
      <x:c r="L749" s="42"/>
      <x:c r="M749" s="46"/>
      <x:c r="N749" s="46"/>
      <x:c r="O749" s="46"/>
      <x:c r="P749" s="46"/>
    </x:row>
    <x:row r="750">
      <x:c r="K750" s="42"/>
      <x:c r="L750" s="42"/>
      <x:c r="M750" s="46"/>
      <x:c r="N750" s="46"/>
      <x:c r="O750" s="46"/>
      <x:c r="P750" s="46"/>
    </x:row>
    <x:row r="751">
      <x:c r="K751" s="42"/>
      <x:c r="L751" s="42"/>
      <x:c r="M751" s="46"/>
      <x:c r="N751" s="46"/>
      <x:c r="O751" s="46"/>
      <x:c r="P751" s="46"/>
    </x:row>
    <x:row r="752">
      <x:c r="K752" s="42"/>
      <x:c r="L752" s="42"/>
      <x:c r="M752" s="46"/>
      <x:c r="N752" s="46"/>
      <x:c r="O752" s="46"/>
      <x:c r="P752" s="46"/>
    </x:row>
    <x:row r="753">
      <x:c r="K753" s="42"/>
      <x:c r="L753" s="42"/>
      <x:c r="M753" s="46"/>
      <x:c r="N753" s="46"/>
      <x:c r="O753" s="46"/>
      <x:c r="P753" s="46"/>
    </x:row>
    <x:row r="754">
      <x:c r="K754" s="42"/>
      <x:c r="L754" s="42"/>
      <x:c r="M754" s="46"/>
      <x:c r="N754" s="46"/>
      <x:c r="O754" s="46"/>
      <x:c r="P754" s="46"/>
    </x:row>
    <x:row r="755">
      <x:c r="K755" s="42"/>
      <x:c r="L755" s="42"/>
      <x:c r="M755" s="46"/>
      <x:c r="N755" s="46"/>
      <x:c r="O755" s="46"/>
      <x:c r="P755" s="46"/>
    </x:row>
    <x:row r="756">
      <x:c r="K756" s="42"/>
      <x:c r="L756" s="42"/>
      <x:c r="M756" s="46"/>
      <x:c r="N756" s="46"/>
      <x:c r="O756" s="46"/>
      <x:c r="P756" s="46"/>
    </x:row>
    <x:row r="757">
      <x:c r="K757" s="42"/>
      <x:c r="L757" s="42"/>
      <x:c r="M757" s="46"/>
      <x:c r="N757" s="46"/>
      <x:c r="O757" s="46"/>
      <x:c r="P757" s="46"/>
    </x:row>
    <x:row r="758">
      <x:c r="K758" s="42"/>
      <x:c r="L758" s="42"/>
      <x:c r="M758" s="46"/>
      <x:c r="N758" s="46"/>
      <x:c r="O758" s="46"/>
      <x:c r="P758" s="46"/>
    </x:row>
    <x:row r="759">
      <x:c r="K759" s="42"/>
      <x:c r="L759" s="42"/>
      <x:c r="M759" s="46"/>
      <x:c r="N759" s="46"/>
      <x:c r="O759" s="46"/>
      <x:c r="P759" s="46"/>
    </x:row>
    <x:row r="760">
      <x:c r="K760" s="42"/>
      <x:c r="L760" s="42"/>
      <x:c r="M760" s="46"/>
      <x:c r="N760" s="46"/>
      <x:c r="O760" s="46"/>
      <x:c r="P760" s="46"/>
    </x:row>
    <x:row r="761">
      <x:c r="K761" s="42"/>
      <x:c r="L761" s="42"/>
      <x:c r="M761" s="46"/>
      <x:c r="N761" s="46"/>
      <x:c r="O761" s="46"/>
      <x:c r="P761" s="46"/>
    </x:row>
    <x:row r="762">
      <x:c r="K762" s="42"/>
      <x:c r="L762" s="42"/>
      <x:c r="M762" s="46"/>
      <x:c r="N762" s="46"/>
      <x:c r="O762" s="46"/>
      <x:c r="P762" s="46"/>
    </x:row>
    <x:row r="763">
      <x:c r="K763" s="42"/>
      <x:c r="L763" s="42"/>
      <x:c r="M763" s="46"/>
      <x:c r="N763" s="46"/>
      <x:c r="O763" s="46"/>
      <x:c r="P763" s="46"/>
    </x:row>
    <x:row r="764">
      <x:c r="K764" s="42"/>
      <x:c r="L764" s="42"/>
      <x:c r="M764" s="46"/>
      <x:c r="N764" s="46"/>
      <x:c r="O764" s="46"/>
      <x:c r="P764" s="46"/>
    </x:row>
    <x:row r="765">
      <x:c r="K765" s="42"/>
      <x:c r="L765" s="42"/>
      <x:c r="M765" s="46"/>
      <x:c r="N765" s="46"/>
      <x:c r="O765" s="46"/>
      <x:c r="P765" s="46"/>
    </x:row>
    <x:row r="766">
      <x:c r="K766" s="42"/>
      <x:c r="L766" s="42"/>
      <x:c r="M766" s="46"/>
      <x:c r="N766" s="46"/>
      <x:c r="O766" s="46"/>
      <x:c r="P766" s="46"/>
    </x:row>
    <x:row r="767">
      <x:c r="K767" s="42"/>
      <x:c r="L767" s="42"/>
      <x:c r="M767" s="46"/>
      <x:c r="N767" s="46"/>
      <x:c r="O767" s="46"/>
      <x:c r="P767" s="46"/>
    </x:row>
    <x:row r="768">
      <x:c r="K768" s="42"/>
      <x:c r="L768" s="42"/>
      <x:c r="M768" s="46"/>
      <x:c r="N768" s="46"/>
      <x:c r="O768" s="46"/>
      <x:c r="P768" s="46"/>
    </x:row>
    <x:row r="769">
      <x:c r="K769" s="42"/>
      <x:c r="L769" s="42"/>
      <x:c r="M769" s="46"/>
      <x:c r="N769" s="46"/>
      <x:c r="O769" s="46"/>
      <x:c r="P769" s="46"/>
    </x:row>
    <x:row r="770">
      <x:c r="K770" s="42"/>
      <x:c r="L770" s="42"/>
      <x:c r="M770" s="46"/>
      <x:c r="N770" s="46"/>
      <x:c r="O770" s="46"/>
      <x:c r="P770" s="46"/>
    </x:row>
    <x:row r="771">
      <x:c r="K771" s="42"/>
      <x:c r="L771" s="42"/>
      <x:c r="M771" s="46"/>
      <x:c r="N771" s="46"/>
      <x:c r="O771" s="46"/>
      <x:c r="P771" s="46"/>
    </x:row>
    <x:row r="772">
      <x:c r="K772" s="42"/>
      <x:c r="L772" s="42"/>
      <x:c r="M772" s="46"/>
      <x:c r="N772" s="46"/>
      <x:c r="O772" s="46"/>
      <x:c r="P772" s="46"/>
    </x:row>
    <x:row r="773">
      <x:c r="K773" s="42"/>
      <x:c r="L773" s="42"/>
      <x:c r="M773" s="46"/>
      <x:c r="N773" s="46"/>
      <x:c r="O773" s="46"/>
      <x:c r="P773" s="46"/>
    </x:row>
    <x:row r="774">
      <x:c r="K774" s="42"/>
      <x:c r="L774" s="42"/>
      <x:c r="M774" s="46"/>
      <x:c r="N774" s="46"/>
      <x:c r="O774" s="46"/>
      <x:c r="P774" s="46"/>
    </x:row>
    <x:row r="775">
      <x:c r="K775" s="42"/>
      <x:c r="L775" s="42"/>
      <x:c r="M775" s="46"/>
      <x:c r="N775" s="46"/>
      <x:c r="O775" s="46"/>
      <x:c r="P775" s="46"/>
    </x:row>
    <x:row r="776">
      <x:c r="K776" s="42"/>
      <x:c r="L776" s="42"/>
      <x:c r="M776" s="46"/>
      <x:c r="N776" s="46"/>
      <x:c r="O776" s="46"/>
      <x:c r="P776" s="46"/>
    </x:row>
    <x:row r="777">
      <x:c r="K777" s="42"/>
      <x:c r="L777" s="42"/>
      <x:c r="M777" s="46"/>
      <x:c r="N777" s="46"/>
      <x:c r="O777" s="46"/>
      <x:c r="P777" s="46"/>
    </x:row>
    <x:row r="778">
      <x:c r="K778" s="42"/>
      <x:c r="L778" s="42"/>
      <x:c r="M778" s="46"/>
      <x:c r="N778" s="46"/>
      <x:c r="O778" s="46"/>
      <x:c r="P778" s="46"/>
    </x:row>
    <x:row r="779">
      <x:c r="K779" s="42"/>
      <x:c r="L779" s="42"/>
      <x:c r="M779" s="46"/>
      <x:c r="N779" s="46"/>
      <x:c r="O779" s="46"/>
      <x:c r="P779" s="46"/>
    </x:row>
    <x:row r="780">
      <x:c r="K780" s="42"/>
      <x:c r="L780" s="42"/>
      <x:c r="M780" s="46"/>
      <x:c r="N780" s="46"/>
      <x:c r="O780" s="46"/>
      <x:c r="P780" s="46"/>
    </x:row>
    <x:row r="781">
      <x:c r="K781" s="42"/>
      <x:c r="L781" s="42"/>
      <x:c r="M781" s="46"/>
      <x:c r="N781" s="46"/>
      <x:c r="O781" s="46"/>
      <x:c r="P781" s="46"/>
    </x:row>
    <x:row r="782">
      <x:c r="K782" s="42"/>
      <x:c r="L782" s="42"/>
      <x:c r="M782" s="46"/>
      <x:c r="N782" s="46"/>
      <x:c r="O782" s="46"/>
      <x:c r="P782" s="46"/>
    </x:row>
    <x:row r="783">
      <x:c r="K783" s="42"/>
      <x:c r="L783" s="42"/>
      <x:c r="M783" s="46"/>
      <x:c r="N783" s="46"/>
      <x:c r="O783" s="46"/>
      <x:c r="P783" s="46"/>
    </x:row>
    <x:row r="784">
      <x:c r="K784" s="42"/>
      <x:c r="L784" s="42"/>
      <x:c r="M784" s="46"/>
      <x:c r="N784" s="46"/>
      <x:c r="O784" s="46"/>
      <x:c r="P784" s="46"/>
    </x:row>
    <x:row r="785">
      <x:c r="K785" s="42"/>
      <x:c r="L785" s="42"/>
      <x:c r="M785" s="46"/>
      <x:c r="N785" s="46"/>
      <x:c r="O785" s="46"/>
      <x:c r="P785" s="46"/>
    </x:row>
    <x:row r="786">
      <x:c r="K786" s="42"/>
      <x:c r="L786" s="42"/>
      <x:c r="M786" s="46"/>
      <x:c r="N786" s="46"/>
      <x:c r="O786" s="46"/>
      <x:c r="P786" s="46"/>
    </x:row>
    <x:row r="787">
      <x:c r="K787" s="42"/>
      <x:c r="L787" s="42"/>
      <x:c r="M787" s="46"/>
      <x:c r="N787" s="46"/>
      <x:c r="O787" s="46"/>
      <x:c r="P787" s="46"/>
    </x:row>
    <x:row r="788">
      <x:c r="K788" s="42"/>
      <x:c r="L788" s="42"/>
      <x:c r="M788" s="46"/>
      <x:c r="N788" s="46"/>
      <x:c r="O788" s="46"/>
      <x:c r="P788" s="46"/>
    </x:row>
    <x:row r="789">
      <x:c r="K789" s="42"/>
      <x:c r="L789" s="42"/>
      <x:c r="M789" s="46"/>
      <x:c r="N789" s="46"/>
      <x:c r="O789" s="46"/>
      <x:c r="P789" s="46"/>
    </x:row>
    <x:row r="790">
      <x:c r="K790" s="42"/>
      <x:c r="L790" s="42"/>
      <x:c r="M790" s="46"/>
      <x:c r="N790" s="46"/>
      <x:c r="O790" s="46"/>
      <x:c r="P790" s="46"/>
    </x:row>
    <x:row r="791">
      <x:c r="K791" s="42"/>
      <x:c r="L791" s="42"/>
      <x:c r="M791" s="46"/>
      <x:c r="N791" s="46"/>
      <x:c r="O791" s="46"/>
      <x:c r="P791" s="46"/>
    </x:row>
    <x:row r="792">
      <x:c r="K792" s="42"/>
      <x:c r="L792" s="42"/>
      <x:c r="M792" s="46"/>
      <x:c r="N792" s="46"/>
      <x:c r="O792" s="46"/>
      <x:c r="P792" s="46"/>
    </x:row>
    <x:row r="793">
      <x:c r="K793" s="42"/>
      <x:c r="L793" s="42"/>
      <x:c r="M793" s="46"/>
      <x:c r="N793" s="46"/>
      <x:c r="O793" s="46"/>
      <x:c r="P793" s="46"/>
    </x:row>
    <x:row r="794">
      <x:c r="K794" s="42"/>
      <x:c r="L794" s="42"/>
      <x:c r="M794" s="46"/>
      <x:c r="N794" s="46"/>
      <x:c r="O794" s="46"/>
      <x:c r="P794" s="46"/>
    </x:row>
    <x:row r="795">
      <x:c r="K795" s="42"/>
      <x:c r="L795" s="42"/>
      <x:c r="M795" s="46"/>
      <x:c r="N795" s="46"/>
      <x:c r="O795" s="46"/>
      <x:c r="P795" s="46"/>
    </x:row>
    <x:row r="796">
      <x:c r="K796" s="42"/>
      <x:c r="L796" s="42"/>
      <x:c r="M796" s="46"/>
      <x:c r="N796" s="46"/>
      <x:c r="O796" s="46"/>
      <x:c r="P796" s="46"/>
    </x:row>
    <x:row r="797">
      <x:c r="K797" s="42"/>
      <x:c r="L797" s="42"/>
      <x:c r="M797" s="46"/>
      <x:c r="N797" s="46"/>
      <x:c r="O797" s="46"/>
      <x:c r="P797" s="46"/>
    </x:row>
    <x:row r="798">
      <x:c r="K798" s="42"/>
      <x:c r="L798" s="42"/>
      <x:c r="M798" s="46"/>
      <x:c r="N798" s="46"/>
      <x:c r="O798" s="46"/>
      <x:c r="P798" s="46"/>
    </x:row>
    <x:row r="799">
      <x:c r="K799" s="42"/>
      <x:c r="L799" s="42"/>
      <x:c r="M799" s="46"/>
      <x:c r="N799" s="46"/>
      <x:c r="O799" s="46"/>
      <x:c r="P799" s="46"/>
    </x:row>
    <x:row r="800">
      <x:c r="K800" s="42"/>
      <x:c r="L800" s="42"/>
      <x:c r="M800" s="46"/>
      <x:c r="N800" s="46"/>
      <x:c r="O800" s="46"/>
      <x:c r="P800" s="46"/>
    </x:row>
    <x:row r="801">
      <x:c r="K801" s="42"/>
      <x:c r="L801" s="42"/>
      <x:c r="M801" s="46"/>
      <x:c r="N801" s="46"/>
      <x:c r="O801" s="46"/>
      <x:c r="P801" s="46"/>
    </x:row>
    <x:row r="802">
      <x:c r="K802" s="42"/>
      <x:c r="L802" s="42"/>
      <x:c r="M802" s="46"/>
      <x:c r="N802" s="46"/>
      <x:c r="O802" s="46"/>
      <x:c r="P802" s="46"/>
    </x:row>
    <x:row r="803">
      <x:c r="K803" s="42"/>
      <x:c r="L803" s="42"/>
      <x:c r="M803" s="46"/>
      <x:c r="N803" s="46"/>
      <x:c r="O803" s="46"/>
      <x:c r="P803" s="46"/>
    </x:row>
    <x:row r="804">
      <x:c r="K804" s="42"/>
      <x:c r="L804" s="42"/>
      <x:c r="M804" s="46"/>
      <x:c r="N804" s="46"/>
      <x:c r="O804" s="46"/>
      <x:c r="P804" s="46"/>
    </x:row>
    <x:row r="805">
      <x:c r="K805" s="42"/>
      <x:c r="L805" s="42"/>
      <x:c r="M805" s="46"/>
      <x:c r="N805" s="46"/>
      <x:c r="O805" s="46"/>
      <x:c r="P805" s="46"/>
    </x:row>
    <x:row r="806">
      <x:c r="K806" s="42"/>
      <x:c r="L806" s="42"/>
      <x:c r="M806" s="46"/>
      <x:c r="N806" s="46"/>
      <x:c r="O806" s="46"/>
      <x:c r="P806" s="46"/>
    </x:row>
    <x:row r="807">
      <x:c r="K807" s="42"/>
      <x:c r="L807" s="42"/>
      <x:c r="M807" s="46"/>
      <x:c r="N807" s="46"/>
      <x:c r="O807" s="46"/>
      <x:c r="P807" s="46"/>
    </x:row>
    <x:row r="808">
      <x:c r="K808" s="42"/>
      <x:c r="L808" s="42"/>
      <x:c r="M808" s="46"/>
      <x:c r="N808" s="46"/>
      <x:c r="O808" s="46"/>
      <x:c r="P808" s="46"/>
    </x:row>
    <x:row r="809">
      <x:c r="K809" s="42"/>
      <x:c r="L809" s="42"/>
      <x:c r="M809" s="46"/>
      <x:c r="N809" s="46"/>
      <x:c r="O809" s="46"/>
      <x:c r="P809" s="46"/>
    </x:row>
    <x:row r="810">
      <x:c r="K810" s="42"/>
      <x:c r="L810" s="42"/>
      <x:c r="M810" s="46"/>
      <x:c r="N810" s="46"/>
      <x:c r="O810" s="46"/>
      <x:c r="P810" s="46"/>
    </x:row>
    <x:row r="811">
      <x:c r="K811" s="42"/>
      <x:c r="L811" s="42"/>
      <x:c r="M811" s="46"/>
      <x:c r="N811" s="46"/>
      <x:c r="O811" s="46"/>
      <x:c r="P811" s="46"/>
    </x:row>
    <x:row r="812">
      <x:c r="K812" s="42"/>
      <x:c r="L812" s="42"/>
      <x:c r="M812" s="46"/>
      <x:c r="N812" s="46"/>
      <x:c r="O812" s="46"/>
      <x:c r="P812" s="46"/>
    </x:row>
    <x:row r="813">
      <x:c r="K813" s="42"/>
      <x:c r="L813" s="42"/>
      <x:c r="M813" s="46"/>
      <x:c r="N813" s="46"/>
      <x:c r="O813" s="46"/>
      <x:c r="P813" s="46"/>
    </x:row>
    <x:row r="814">
      <x:c r="K814" s="42"/>
      <x:c r="L814" s="42"/>
      <x:c r="M814" s="46"/>
      <x:c r="N814" s="46"/>
      <x:c r="O814" s="46"/>
      <x:c r="P814" s="46"/>
    </x:row>
    <x:row r="815">
      <x:c r="K815" s="42"/>
      <x:c r="L815" s="42"/>
      <x:c r="M815" s="46"/>
      <x:c r="N815" s="46"/>
      <x:c r="O815" s="46"/>
      <x:c r="P815" s="46"/>
    </x:row>
    <x:row r="816">
      <x:c r="K816" s="42"/>
      <x:c r="L816" s="42"/>
      <x:c r="M816" s="46"/>
      <x:c r="N816" s="46"/>
      <x:c r="O816" s="46"/>
      <x:c r="P816" s="46"/>
    </x:row>
    <x:row r="817">
      <x:c r="K817" s="42"/>
      <x:c r="L817" s="42"/>
      <x:c r="M817" s="46"/>
      <x:c r="N817" s="46"/>
      <x:c r="O817" s="46"/>
      <x:c r="P817" s="46"/>
    </x:row>
    <x:row r="818">
      <x:c r="K818" s="42"/>
      <x:c r="L818" s="42"/>
      <x:c r="M818" s="46"/>
      <x:c r="N818" s="46"/>
      <x:c r="O818" s="46"/>
      <x:c r="P818" s="46"/>
    </x:row>
    <x:row r="819">
      <x:c r="K819" s="42"/>
      <x:c r="L819" s="42"/>
      <x:c r="M819" s="46"/>
      <x:c r="N819" s="46"/>
      <x:c r="O819" s="46"/>
      <x:c r="P819" s="46"/>
    </x:row>
    <x:row r="820">
      <x:c r="K820" s="42"/>
      <x:c r="L820" s="42"/>
      <x:c r="M820" s="46"/>
      <x:c r="N820" s="46"/>
      <x:c r="O820" s="46"/>
      <x:c r="P820" s="46"/>
    </x:row>
    <x:row r="821">
      <x:c r="K821" s="42"/>
      <x:c r="L821" s="42"/>
      <x:c r="M821" s="46"/>
      <x:c r="N821" s="46"/>
      <x:c r="O821" s="46"/>
      <x:c r="P821" s="46"/>
    </x:row>
    <x:row r="822">
      <x:c r="K822" s="42"/>
      <x:c r="L822" s="42"/>
      <x:c r="M822" s="46"/>
      <x:c r="N822" s="46"/>
      <x:c r="O822" s="46"/>
      <x:c r="P822" s="46"/>
    </x:row>
    <x:row r="823">
      <x:c r="K823" s="42"/>
      <x:c r="L823" s="42"/>
      <x:c r="M823" s="46"/>
      <x:c r="N823" s="46"/>
      <x:c r="O823" s="46"/>
      <x:c r="P823" s="46"/>
    </x:row>
    <x:row r="824">
      <x:c r="K824" s="42"/>
      <x:c r="L824" s="42"/>
      <x:c r="M824" s="46"/>
      <x:c r="N824" s="46"/>
      <x:c r="O824" s="46"/>
      <x:c r="P824" s="46"/>
    </x:row>
    <x:row r="825">
      <x:c r="K825" s="42"/>
      <x:c r="L825" s="42"/>
      <x:c r="M825" s="46"/>
      <x:c r="N825" s="46"/>
      <x:c r="O825" s="46"/>
      <x:c r="P825" s="46"/>
    </x:row>
    <x:row r="826">
      <x:c r="K826" s="42"/>
      <x:c r="L826" s="42"/>
      <x:c r="M826" s="46"/>
      <x:c r="N826" s="46"/>
      <x:c r="O826" s="46"/>
      <x:c r="P826" s="46"/>
    </x:row>
    <x:row r="827">
      <x:c r="K827" s="42"/>
      <x:c r="L827" s="42"/>
      <x:c r="M827" s="46"/>
      <x:c r="N827" s="46"/>
      <x:c r="O827" s="46"/>
      <x:c r="P827" s="46"/>
    </x:row>
    <x:row r="828">
      <x:c r="K828" s="42"/>
      <x:c r="L828" s="42"/>
      <x:c r="M828" s="46"/>
      <x:c r="N828" s="46"/>
      <x:c r="O828" s="46"/>
      <x:c r="P828" s="46"/>
    </x:row>
    <x:row r="829">
      <x:c r="K829" s="42"/>
      <x:c r="L829" s="42"/>
      <x:c r="M829" s="46"/>
      <x:c r="N829" s="46"/>
      <x:c r="O829" s="46"/>
      <x:c r="P829" s="46"/>
    </x:row>
    <x:row r="830">
      <x:c r="K830" s="42"/>
      <x:c r="L830" s="42"/>
      <x:c r="M830" s="46"/>
      <x:c r="N830" s="46"/>
      <x:c r="O830" s="46"/>
      <x:c r="P830" s="46"/>
    </x:row>
    <x:row r="831">
      <x:c r="K831" s="42"/>
      <x:c r="L831" s="42"/>
      <x:c r="M831" s="46"/>
      <x:c r="N831" s="46"/>
      <x:c r="O831" s="46"/>
      <x:c r="P831" s="46"/>
    </x:row>
    <x:row r="832">
      <x:c r="K832" s="42"/>
      <x:c r="L832" s="42"/>
      <x:c r="M832" s="46"/>
      <x:c r="N832" s="46"/>
      <x:c r="O832" s="46"/>
      <x:c r="P832" s="46"/>
    </x:row>
    <x:row r="833">
      <x:c r="K833" s="42"/>
      <x:c r="L833" s="42"/>
      <x:c r="M833" s="46"/>
      <x:c r="N833" s="46"/>
      <x:c r="O833" s="46"/>
      <x:c r="P833" s="46"/>
    </x:row>
    <x:row r="834">
      <x:c r="K834" s="42"/>
      <x:c r="L834" s="42"/>
      <x:c r="M834" s="46"/>
      <x:c r="N834" s="46"/>
      <x:c r="O834" s="46"/>
      <x:c r="P834" s="46"/>
    </x:row>
    <x:row r="835">
      <x:c r="K835" s="42"/>
      <x:c r="L835" s="42"/>
      <x:c r="M835" s="46"/>
      <x:c r="N835" s="46"/>
      <x:c r="O835" s="46"/>
      <x:c r="P835" s="46"/>
    </x:row>
    <x:row r="836">
      <x:c r="K836" s="42"/>
      <x:c r="L836" s="42"/>
      <x:c r="M836" s="46"/>
      <x:c r="N836" s="46"/>
      <x:c r="O836" s="46"/>
      <x:c r="P836" s="46"/>
    </x:row>
    <x:row r="837">
      <x:c r="K837" s="42"/>
      <x:c r="L837" s="42"/>
      <x:c r="M837" s="46"/>
      <x:c r="N837" s="46"/>
      <x:c r="O837" s="46"/>
      <x:c r="P837" s="46"/>
    </x:row>
    <x:row r="838">
      <x:c r="K838" s="42"/>
      <x:c r="L838" s="42"/>
      <x:c r="M838" s="46"/>
      <x:c r="N838" s="46"/>
      <x:c r="O838" s="46"/>
      <x:c r="P838" s="46"/>
    </x:row>
    <x:row r="839">
      <x:c r="K839" s="42"/>
      <x:c r="L839" s="42"/>
      <x:c r="M839" s="46"/>
      <x:c r="N839" s="46"/>
      <x:c r="O839" s="46"/>
      <x:c r="P839" s="46"/>
    </x:row>
    <x:row r="840">
      <x:c r="K840" s="42"/>
      <x:c r="L840" s="42"/>
      <x:c r="M840" s="46"/>
      <x:c r="N840" s="46"/>
      <x:c r="O840" s="46"/>
      <x:c r="P840" s="46"/>
    </x:row>
    <x:row r="841">
      <x:c r="K841" s="42"/>
      <x:c r="L841" s="42"/>
      <x:c r="M841" s="46"/>
      <x:c r="N841" s="46"/>
      <x:c r="O841" s="46"/>
      <x:c r="P841" s="46"/>
    </x:row>
    <x:row r="842">
      <x:c r="K842" s="42"/>
      <x:c r="L842" s="42"/>
      <x:c r="M842" s="46"/>
      <x:c r="N842" s="46"/>
      <x:c r="O842" s="46"/>
      <x:c r="P842" s="46"/>
    </x:row>
    <x:row r="843">
      <x:c r="K843" s="42"/>
      <x:c r="L843" s="42"/>
      <x:c r="M843" s="46"/>
      <x:c r="N843" s="46"/>
      <x:c r="O843" s="46"/>
      <x:c r="P843" s="46"/>
    </x:row>
    <x:row r="844">
      <x:c r="K844" s="42"/>
      <x:c r="L844" s="42"/>
      <x:c r="M844" s="46"/>
      <x:c r="N844" s="46"/>
      <x:c r="O844" s="46"/>
      <x:c r="P844" s="46"/>
    </x:row>
    <x:row r="845">
      <x:c r="K845" s="42"/>
      <x:c r="L845" s="42"/>
      <x:c r="M845" s="46"/>
      <x:c r="N845" s="46"/>
      <x:c r="O845" s="46"/>
      <x:c r="P845" s="46"/>
    </x:row>
    <x:row r="846">
      <x:c r="K846" s="42"/>
      <x:c r="L846" s="42"/>
      <x:c r="M846" s="46"/>
      <x:c r="N846" s="46"/>
      <x:c r="O846" s="46"/>
      <x:c r="P846" s="46"/>
    </x:row>
    <x:row r="847">
      <x:c r="K847" s="42"/>
      <x:c r="L847" s="42"/>
      <x:c r="M847" s="46"/>
      <x:c r="N847" s="46"/>
      <x:c r="O847" s="46"/>
      <x:c r="P847" s="46"/>
    </x:row>
    <x:row r="848">
      <x:c r="K848" s="42"/>
      <x:c r="L848" s="42"/>
      <x:c r="M848" s="46"/>
      <x:c r="N848" s="46"/>
      <x:c r="O848" s="46"/>
      <x:c r="P848" s="46"/>
    </x:row>
    <x:row r="849">
      <x:c r="K849" s="42"/>
      <x:c r="L849" s="42"/>
      <x:c r="M849" s="46"/>
      <x:c r="N849" s="46"/>
      <x:c r="O849" s="46"/>
      <x:c r="P849" s="46"/>
    </x:row>
    <x:row r="850">
      <x:c r="K850" s="42"/>
      <x:c r="L850" s="42"/>
      <x:c r="M850" s="46"/>
      <x:c r="N850" s="46"/>
      <x:c r="O850" s="46"/>
      <x:c r="P850" s="46"/>
    </x:row>
    <x:row r="851">
      <x:c r="K851" s="42"/>
      <x:c r="L851" s="42"/>
      <x:c r="M851" s="46"/>
      <x:c r="N851" s="46"/>
      <x:c r="O851" s="46"/>
      <x:c r="P851" s="46"/>
    </x:row>
    <x:row r="852">
      <x:c r="K852" s="42"/>
      <x:c r="L852" s="42"/>
      <x:c r="M852" s="46"/>
      <x:c r="N852" s="46"/>
      <x:c r="O852" s="46"/>
      <x:c r="P852" s="46"/>
    </x:row>
    <x:row r="853">
      <x:c r="K853" s="42"/>
      <x:c r="L853" s="42"/>
      <x:c r="M853" s="46"/>
      <x:c r="N853" s="46"/>
      <x:c r="O853" s="46"/>
      <x:c r="P853" s="46"/>
    </x:row>
    <x:row r="854">
      <x:c r="K854" s="42"/>
      <x:c r="L854" s="42"/>
      <x:c r="M854" s="46"/>
      <x:c r="N854" s="46"/>
      <x:c r="O854" s="46"/>
      <x:c r="P854" s="46"/>
    </x:row>
    <x:row r="855">
      <x:c r="K855" s="42"/>
      <x:c r="L855" s="42"/>
      <x:c r="M855" s="46"/>
      <x:c r="N855" s="46"/>
      <x:c r="O855" s="46"/>
      <x:c r="P855" s="46"/>
    </x:row>
    <x:row r="856">
      <x:c r="K856" s="42"/>
      <x:c r="L856" s="42"/>
      <x:c r="M856" s="46"/>
      <x:c r="N856" s="46"/>
      <x:c r="O856" s="46"/>
      <x:c r="P856" s="46"/>
    </x:row>
    <x:row r="857">
      <x:c r="K857" s="42"/>
      <x:c r="L857" s="42"/>
      <x:c r="M857" s="46"/>
      <x:c r="N857" s="46"/>
      <x:c r="O857" s="46"/>
      <x:c r="P857" s="46"/>
    </x:row>
    <x:row r="858">
      <x:c r="K858" s="42"/>
      <x:c r="L858" s="42"/>
      <x:c r="M858" s="46"/>
      <x:c r="N858" s="46"/>
      <x:c r="O858" s="46"/>
      <x:c r="P858" s="46"/>
    </x:row>
    <x:row r="859">
      <x:c r="K859" s="42"/>
      <x:c r="L859" s="42"/>
      <x:c r="M859" s="46"/>
      <x:c r="N859" s="46"/>
      <x:c r="O859" s="46"/>
      <x:c r="P859" s="46"/>
    </x:row>
    <x:row r="860">
      <x:c r="K860" s="42"/>
      <x:c r="L860" s="42"/>
      <x:c r="M860" s="46"/>
      <x:c r="N860" s="46"/>
      <x:c r="O860" s="46"/>
      <x:c r="P860" s="46"/>
    </x:row>
    <x:row r="861">
      <x:c r="K861" s="42"/>
      <x:c r="L861" s="42"/>
      <x:c r="M861" s="46"/>
      <x:c r="N861" s="46"/>
      <x:c r="O861" s="46"/>
      <x:c r="P861" s="46"/>
    </x:row>
    <x:row r="862">
      <x:c r="K862" s="42"/>
      <x:c r="L862" s="42"/>
      <x:c r="M862" s="46"/>
      <x:c r="N862" s="46"/>
      <x:c r="O862" s="46"/>
      <x:c r="P862" s="46"/>
    </x:row>
    <x:row r="863">
      <x:c r="K863" s="42"/>
      <x:c r="L863" s="42"/>
      <x:c r="M863" s="46"/>
      <x:c r="N863" s="46"/>
      <x:c r="O863" s="46"/>
      <x:c r="P863" s="46"/>
    </x:row>
    <x:row r="864">
      <x:c r="K864" s="42"/>
      <x:c r="L864" s="42"/>
      <x:c r="M864" s="46"/>
      <x:c r="N864" s="46"/>
      <x:c r="O864" s="46"/>
      <x:c r="P864" s="46"/>
    </x:row>
    <x:row r="865">
      <x:c r="K865" s="42"/>
      <x:c r="L865" s="42"/>
      <x:c r="M865" s="46"/>
      <x:c r="N865" s="46"/>
      <x:c r="O865" s="46"/>
      <x:c r="P865" s="46"/>
    </x:row>
    <x:row r="866">
      <x:c r="K866" s="42"/>
      <x:c r="L866" s="42"/>
      <x:c r="M866" s="46"/>
      <x:c r="N866" s="46"/>
      <x:c r="O866" s="46"/>
      <x:c r="P866" s="46"/>
    </x:row>
    <x:row r="867">
      <x:c r="K867" s="42"/>
      <x:c r="L867" s="42"/>
      <x:c r="M867" s="46"/>
      <x:c r="N867" s="46"/>
      <x:c r="O867" s="46"/>
      <x:c r="P867" s="46"/>
    </x:row>
    <x:row r="868">
      <x:c r="K868" s="42"/>
      <x:c r="L868" s="42"/>
      <x:c r="M868" s="46"/>
      <x:c r="N868" s="46"/>
      <x:c r="O868" s="46"/>
      <x:c r="P868" s="46"/>
    </x:row>
    <x:row r="869">
      <x:c r="K869" s="42"/>
      <x:c r="L869" s="42"/>
      <x:c r="M869" s="46"/>
      <x:c r="N869" s="46"/>
      <x:c r="O869" s="46"/>
      <x:c r="P869" s="46"/>
    </x:row>
    <x:row r="870">
      <x:c r="K870" s="42"/>
      <x:c r="L870" s="42"/>
      <x:c r="M870" s="46"/>
      <x:c r="N870" s="46"/>
      <x:c r="O870" s="46"/>
      <x:c r="P870" s="46"/>
    </x:row>
    <x:row r="871">
      <x:c r="K871" s="42"/>
      <x:c r="L871" s="42"/>
      <x:c r="M871" s="46"/>
      <x:c r="N871" s="46"/>
      <x:c r="O871" s="46"/>
      <x:c r="P871" s="46"/>
    </x:row>
    <x:row r="872">
      <x:c r="K872" s="42"/>
      <x:c r="L872" s="42"/>
      <x:c r="M872" s="46"/>
      <x:c r="N872" s="46"/>
      <x:c r="O872" s="46"/>
      <x:c r="P872" s="46"/>
    </x:row>
    <x:row r="873">
      <x:c r="K873" s="42"/>
      <x:c r="L873" s="42"/>
      <x:c r="M873" s="46"/>
      <x:c r="N873" s="46"/>
      <x:c r="O873" s="46"/>
      <x:c r="P873" s="46"/>
    </x:row>
    <x:row r="874">
      <x:c r="K874" s="42"/>
      <x:c r="L874" s="42"/>
      <x:c r="M874" s="46"/>
      <x:c r="N874" s="46"/>
      <x:c r="O874" s="46"/>
      <x:c r="P874" s="46"/>
    </x:row>
    <x:row r="875">
      <x:c r="K875" s="42"/>
      <x:c r="L875" s="42"/>
      <x:c r="M875" s="46"/>
      <x:c r="N875" s="46"/>
      <x:c r="O875" s="46"/>
      <x:c r="P875" s="46"/>
    </x:row>
    <x:row r="876">
      <x:c r="K876" s="42"/>
      <x:c r="L876" s="42"/>
      <x:c r="M876" s="46"/>
      <x:c r="N876" s="46"/>
      <x:c r="O876" s="46"/>
      <x:c r="P876" s="46"/>
    </x:row>
    <x:row r="877">
      <x:c r="K877" s="42"/>
      <x:c r="L877" s="42"/>
      <x:c r="M877" s="46"/>
      <x:c r="N877" s="46"/>
      <x:c r="O877" s="46"/>
      <x:c r="P877" s="46"/>
    </x:row>
    <x:row r="878">
      <x:c r="K878" s="42"/>
      <x:c r="L878" s="42"/>
      <x:c r="M878" s="46"/>
      <x:c r="N878" s="46"/>
      <x:c r="O878" s="46"/>
      <x:c r="P878" s="46"/>
    </x:row>
    <x:row r="879">
      <x:c r="K879" s="42"/>
      <x:c r="L879" s="42"/>
      <x:c r="M879" s="46"/>
      <x:c r="N879" s="46"/>
      <x:c r="O879" s="46"/>
      <x:c r="P879" s="46"/>
    </x:row>
    <x:row r="880">
      <x:c r="K880" s="42"/>
      <x:c r="L880" s="42"/>
      <x:c r="M880" s="46"/>
      <x:c r="N880" s="46"/>
      <x:c r="O880" s="46"/>
      <x:c r="P880" s="46"/>
    </x:row>
    <x:row r="881">
      <x:c r="K881" s="42"/>
      <x:c r="L881" s="42"/>
      <x:c r="M881" s="46"/>
      <x:c r="N881" s="46"/>
      <x:c r="O881" s="46"/>
      <x:c r="P881" s="46"/>
    </x:row>
    <x:row r="882">
      <x:c r="K882" s="42"/>
      <x:c r="L882" s="42"/>
      <x:c r="M882" s="46"/>
      <x:c r="N882" s="46"/>
      <x:c r="O882" s="46"/>
      <x:c r="P882" s="46"/>
    </x:row>
    <x:row r="883">
      <x:c r="K883" s="42"/>
      <x:c r="L883" s="42"/>
      <x:c r="M883" s="46"/>
      <x:c r="N883" s="46"/>
      <x:c r="O883" s="46"/>
      <x:c r="P883" s="46"/>
    </x:row>
    <x:row r="884">
      <x:c r="K884" s="42"/>
      <x:c r="L884" s="42"/>
      <x:c r="M884" s="46"/>
      <x:c r="N884" s="46"/>
      <x:c r="O884" s="46"/>
      <x:c r="P884" s="46"/>
    </x:row>
    <x:row r="885">
      <x:c r="K885" s="42"/>
      <x:c r="L885" s="42"/>
      <x:c r="M885" s="46"/>
      <x:c r="N885" s="46"/>
      <x:c r="O885" s="46"/>
      <x:c r="P885" s="46"/>
    </x:row>
    <x:row r="886">
      <x:c r="K886" s="42"/>
      <x:c r="L886" s="42"/>
      <x:c r="M886" s="46"/>
      <x:c r="N886" s="46"/>
      <x:c r="O886" s="46"/>
      <x:c r="P886" s="46"/>
    </x:row>
    <x:row r="887">
      <x:c r="K887" s="42"/>
      <x:c r="L887" s="42"/>
      <x:c r="M887" s="46"/>
      <x:c r="N887" s="46"/>
      <x:c r="O887" s="46"/>
      <x:c r="P887" s="46"/>
    </x:row>
    <x:row r="888">
      <x:c r="K888" s="42"/>
      <x:c r="L888" s="42"/>
      <x:c r="M888" s="46"/>
      <x:c r="N888" s="46"/>
      <x:c r="O888" s="46"/>
      <x:c r="P888" s="46"/>
    </x:row>
    <x:row r="889">
      <x:c r="K889" s="42"/>
      <x:c r="L889" s="42"/>
      <x:c r="M889" s="46"/>
      <x:c r="N889" s="46"/>
      <x:c r="O889" s="46"/>
      <x:c r="P889" s="46"/>
    </x:row>
    <x:row r="890">
      <x:c r="K890" s="42"/>
      <x:c r="L890" s="42"/>
      <x:c r="M890" s="46"/>
      <x:c r="N890" s="46"/>
      <x:c r="O890" s="46"/>
      <x:c r="P890" s="46"/>
    </x:row>
    <x:row r="891">
      <x:c r="K891" s="42"/>
      <x:c r="L891" s="42"/>
      <x:c r="M891" s="46"/>
      <x:c r="N891" s="46"/>
      <x:c r="O891" s="46"/>
      <x:c r="P891" s="46"/>
    </x:row>
    <x:row r="892">
      <x:c r="K892" s="42"/>
      <x:c r="L892" s="42"/>
      <x:c r="M892" s="46"/>
      <x:c r="N892" s="46"/>
      <x:c r="O892" s="46"/>
      <x:c r="P892" s="46"/>
    </x:row>
    <x:row r="893">
      <x:c r="K893" s="42"/>
      <x:c r="L893" s="42"/>
      <x:c r="M893" s="46"/>
      <x:c r="N893" s="46"/>
      <x:c r="O893" s="46"/>
      <x:c r="P893" s="46"/>
    </x:row>
    <x:row r="894">
      <x:c r="K894" s="42"/>
      <x:c r="L894" s="42"/>
      <x:c r="M894" s="46"/>
      <x:c r="N894" s="46"/>
      <x:c r="O894" s="46"/>
      <x:c r="P894" s="46"/>
    </x:row>
    <x:row r="895">
      <x:c r="K895" s="42"/>
      <x:c r="L895" s="42"/>
      <x:c r="M895" s="46"/>
      <x:c r="N895" s="46"/>
      <x:c r="O895" s="46"/>
      <x:c r="P895" s="46"/>
    </x:row>
    <x:row r="896">
      <x:c r="K896" s="42"/>
      <x:c r="L896" s="42"/>
      <x:c r="M896" s="46"/>
      <x:c r="N896" s="46"/>
      <x:c r="O896" s="46"/>
      <x:c r="P896" s="46"/>
    </x:row>
    <x:row r="897">
      <x:c r="K897" s="42"/>
      <x:c r="L897" s="42"/>
      <x:c r="M897" s="46"/>
      <x:c r="N897" s="46"/>
      <x:c r="O897" s="46"/>
      <x:c r="P897" s="46"/>
    </x:row>
    <x:row r="898">
      <x:c r="K898" s="42"/>
      <x:c r="L898" s="42"/>
      <x:c r="M898" s="46"/>
      <x:c r="N898" s="46"/>
      <x:c r="O898" s="46"/>
      <x:c r="P898" s="46"/>
    </x:row>
    <x:row r="899">
      <x:c r="K899" s="42"/>
      <x:c r="L899" s="42"/>
      <x:c r="M899" s="46"/>
      <x:c r="N899" s="46"/>
      <x:c r="O899" s="46"/>
      <x:c r="P899" s="46"/>
    </x:row>
    <x:row r="900">
      <x:c r="K900" s="42"/>
      <x:c r="L900" s="42"/>
      <x:c r="M900" s="46"/>
      <x:c r="N900" s="46"/>
      <x:c r="O900" s="46"/>
      <x:c r="P900" s="46"/>
    </x:row>
    <x:row r="901">
      <x:c r="K901" s="42"/>
      <x:c r="L901" s="42"/>
      <x:c r="M901" s="46"/>
      <x:c r="N901" s="46"/>
      <x:c r="O901" s="46"/>
      <x:c r="P901" s="46"/>
    </x:row>
    <x:row r="902">
      <x:c r="K902" s="42"/>
      <x:c r="L902" s="42"/>
      <x:c r="M902" s="46"/>
      <x:c r="N902" s="46"/>
      <x:c r="O902" s="46"/>
      <x:c r="P902" s="46"/>
    </x:row>
    <x:row r="903">
      <x:c r="K903" s="42"/>
      <x:c r="L903" s="42"/>
      <x:c r="M903" s="46"/>
      <x:c r="N903" s="46"/>
      <x:c r="O903" s="46"/>
      <x:c r="P903" s="46"/>
    </x:row>
    <x:row r="904">
      <x:c r="K904" s="42"/>
      <x:c r="L904" s="42"/>
      <x:c r="M904" s="46"/>
      <x:c r="N904" s="46"/>
      <x:c r="O904" s="46"/>
      <x:c r="P904" s="46"/>
    </x:row>
    <x:row r="905">
      <x:c r="K905" s="42"/>
      <x:c r="L905" s="42"/>
      <x:c r="M905" s="46"/>
      <x:c r="N905" s="46"/>
      <x:c r="O905" s="46"/>
      <x:c r="P905" s="46"/>
    </x:row>
    <x:row r="906">
      <x:c r="K906" s="42"/>
      <x:c r="L906" s="42"/>
      <x:c r="M906" s="46"/>
      <x:c r="N906" s="46"/>
      <x:c r="O906" s="46"/>
      <x:c r="P906" s="46"/>
    </x:row>
    <x:row r="907">
      <x:c r="K907" s="42"/>
      <x:c r="L907" s="42"/>
      <x:c r="M907" s="46"/>
      <x:c r="N907" s="46"/>
      <x:c r="O907" s="46"/>
      <x:c r="P907" s="46"/>
    </x:row>
    <x:row r="908">
      <x:c r="K908" s="42"/>
      <x:c r="L908" s="42"/>
      <x:c r="M908" s="46"/>
      <x:c r="N908" s="46"/>
      <x:c r="O908" s="46"/>
      <x:c r="P908" s="46"/>
    </x:row>
    <x:row r="909">
      <x:c r="K909" s="42"/>
      <x:c r="L909" s="42"/>
      <x:c r="M909" s="46"/>
      <x:c r="N909" s="46"/>
      <x:c r="O909" s="46"/>
      <x:c r="P909" s="46"/>
    </x:row>
    <x:row r="910">
      <x:c r="K910" s="42"/>
      <x:c r="L910" s="42"/>
      <x:c r="M910" s="46"/>
      <x:c r="N910" s="46"/>
      <x:c r="O910" s="46"/>
      <x:c r="P910" s="46"/>
    </x:row>
    <x:row r="911">
      <x:c r="K911" s="42"/>
      <x:c r="L911" s="42"/>
      <x:c r="M911" s="46"/>
      <x:c r="N911" s="46"/>
      <x:c r="O911" s="46"/>
      <x:c r="P911" s="46"/>
    </x:row>
    <x:row r="912">
      <x:c r="K912" s="42"/>
      <x:c r="L912" s="42"/>
      <x:c r="M912" s="46"/>
      <x:c r="N912" s="46"/>
      <x:c r="O912" s="46"/>
      <x:c r="P912" s="46"/>
    </x:row>
    <x:row r="913">
      <x:c r="K913" s="42"/>
      <x:c r="L913" s="42"/>
      <x:c r="M913" s="46"/>
      <x:c r="N913" s="46"/>
      <x:c r="O913" s="46"/>
      <x:c r="P913" s="46"/>
    </x:row>
    <x:row r="914">
      <x:c r="K914" s="42"/>
      <x:c r="L914" s="42"/>
      <x:c r="M914" s="46"/>
      <x:c r="N914" s="46"/>
      <x:c r="O914" s="46"/>
      <x:c r="P914" s="46"/>
    </x:row>
    <x:row r="915">
      <x:c r="K915" s="42"/>
      <x:c r="L915" s="42"/>
      <x:c r="M915" s="46"/>
      <x:c r="N915" s="46"/>
      <x:c r="O915" s="46"/>
      <x:c r="P915" s="46"/>
    </x:row>
    <x:row r="916">
      <x:c r="K916" s="42"/>
      <x:c r="L916" s="42"/>
      <x:c r="M916" s="46"/>
      <x:c r="N916" s="46"/>
      <x:c r="O916" s="46"/>
      <x:c r="P916" s="46"/>
    </x:row>
    <x:row r="917">
      <x:c r="K917" s="42"/>
      <x:c r="L917" s="42"/>
      <x:c r="M917" s="46"/>
      <x:c r="N917" s="46"/>
      <x:c r="O917" s="46"/>
      <x:c r="P917" s="46"/>
    </x:row>
    <x:row r="918">
      <x:c r="K918" s="42"/>
      <x:c r="L918" s="42"/>
      <x:c r="M918" s="46"/>
      <x:c r="N918" s="46"/>
      <x:c r="O918" s="46"/>
      <x:c r="P918" s="46"/>
    </x:row>
    <x:row r="919">
      <x:c r="K919" s="42"/>
      <x:c r="L919" s="42"/>
      <x:c r="M919" s="46"/>
      <x:c r="N919" s="46"/>
      <x:c r="O919" s="46"/>
      <x:c r="P919" s="46"/>
    </x:row>
    <x:row r="920">
      <x:c r="K920" s="42"/>
      <x:c r="L920" s="42"/>
      <x:c r="M920" s="46"/>
      <x:c r="N920" s="46"/>
      <x:c r="O920" s="46"/>
      <x:c r="P920" s="46"/>
    </x:row>
    <x:row r="921">
      <x:c r="K921" s="42"/>
      <x:c r="L921" s="42"/>
      <x:c r="M921" s="46"/>
      <x:c r="N921" s="46"/>
      <x:c r="O921" s="46"/>
      <x:c r="P921" s="46"/>
    </x:row>
    <x:row r="922">
      <x:c r="K922" s="42"/>
      <x:c r="L922" s="42"/>
      <x:c r="M922" s="46"/>
      <x:c r="N922" s="46"/>
      <x:c r="O922" s="46"/>
      <x:c r="P922" s="46"/>
    </x:row>
    <x:row r="923">
      <x:c r="K923" s="42"/>
      <x:c r="L923" s="42"/>
      <x:c r="M923" s="46"/>
      <x:c r="N923" s="46"/>
      <x:c r="O923" s="46"/>
      <x:c r="P923" s="46"/>
    </x:row>
    <x:row r="924">
      <x:c r="K924" s="42"/>
      <x:c r="L924" s="42"/>
      <x:c r="M924" s="46"/>
      <x:c r="N924" s="46"/>
      <x:c r="O924" s="46"/>
      <x:c r="P924" s="46"/>
    </x:row>
    <x:row r="925">
      <x:c r="K925" s="42"/>
      <x:c r="L925" s="42"/>
      <x:c r="M925" s="46"/>
      <x:c r="N925" s="46"/>
      <x:c r="O925" s="46"/>
      <x:c r="P925" s="46"/>
    </x:row>
    <x:row r="926">
      <x:c r="K926" s="42"/>
      <x:c r="L926" s="42"/>
      <x:c r="M926" s="46"/>
      <x:c r="N926" s="46"/>
      <x:c r="O926" s="46"/>
      <x:c r="P926" s="46"/>
    </x:row>
    <x:row r="927">
      <x:c r="K927" s="42"/>
      <x:c r="L927" s="42"/>
      <x:c r="M927" s="46"/>
      <x:c r="N927" s="46"/>
      <x:c r="O927" s="46"/>
      <x:c r="P927" s="46"/>
    </x:row>
    <x:row r="928">
      <x:c r="K928" s="42"/>
      <x:c r="L928" s="42"/>
      <x:c r="M928" s="46"/>
      <x:c r="N928" s="46"/>
      <x:c r="O928" s="46"/>
      <x:c r="P928" s="46"/>
    </x:row>
    <x:row r="929">
      <x:c r="K929" s="42"/>
      <x:c r="L929" s="42"/>
      <x:c r="M929" s="46"/>
      <x:c r="N929" s="46"/>
      <x:c r="O929" s="46"/>
      <x:c r="P929" s="46"/>
    </x:row>
    <x:row r="930">
      <x:c r="K930" s="42"/>
      <x:c r="L930" s="42"/>
      <x:c r="M930" s="46"/>
      <x:c r="N930" s="46"/>
      <x:c r="O930" s="46"/>
      <x:c r="P930" s="46"/>
    </x:row>
    <x:row r="931">
      <x:c r="K931" s="42"/>
      <x:c r="L931" s="42"/>
      <x:c r="M931" s="46"/>
      <x:c r="N931" s="46"/>
      <x:c r="O931" s="46"/>
      <x:c r="P931" s="46"/>
    </x:row>
    <x:row r="932">
      <x:c r="K932" s="42"/>
      <x:c r="L932" s="42"/>
      <x:c r="M932" s="46"/>
      <x:c r="N932" s="46"/>
      <x:c r="O932" s="46"/>
      <x:c r="P932" s="46"/>
    </x:row>
    <x:row r="933">
      <x:c r="K933" s="42"/>
      <x:c r="L933" s="42"/>
      <x:c r="M933" s="46"/>
      <x:c r="N933" s="46"/>
      <x:c r="O933" s="46"/>
      <x:c r="P933" s="46"/>
    </x:row>
    <x:row r="934">
      <x:c r="K934" s="42"/>
      <x:c r="L934" s="42"/>
      <x:c r="M934" s="46"/>
      <x:c r="N934" s="46"/>
      <x:c r="O934" s="46"/>
      <x:c r="P934" s="46"/>
    </x:row>
    <x:row r="935">
      <x:c r="K935" s="42"/>
      <x:c r="L935" s="42"/>
      <x:c r="M935" s="46"/>
      <x:c r="N935" s="46"/>
      <x:c r="O935" s="46"/>
      <x:c r="P935" s="46"/>
    </x:row>
    <x:row r="936">
      <x:c r="K936" s="42"/>
      <x:c r="L936" s="42"/>
      <x:c r="M936" s="46"/>
      <x:c r="N936" s="46"/>
      <x:c r="O936" s="46"/>
      <x:c r="P936" s="46"/>
    </x:row>
    <x:row r="937">
      <x:c r="K937" s="42"/>
      <x:c r="L937" s="42"/>
      <x:c r="M937" s="46"/>
      <x:c r="N937" s="46"/>
      <x:c r="O937" s="46"/>
      <x:c r="P937" s="46"/>
    </x:row>
    <x:row r="938">
      <x:c r="K938" s="42"/>
      <x:c r="L938" s="42"/>
      <x:c r="M938" s="46"/>
      <x:c r="N938" s="46"/>
      <x:c r="O938" s="46"/>
      <x:c r="P938" s="46"/>
    </x:row>
    <x:row r="939">
      <x:c r="K939" s="42"/>
      <x:c r="L939" s="42"/>
      <x:c r="M939" s="46"/>
      <x:c r="N939" s="46"/>
      <x:c r="O939" s="46"/>
      <x:c r="P939" s="46"/>
    </x:row>
    <x:row r="940">
      <x:c r="K940" s="42"/>
      <x:c r="L940" s="42"/>
      <x:c r="M940" s="46"/>
      <x:c r="N940" s="46"/>
      <x:c r="O940" s="46"/>
      <x:c r="P940" s="46"/>
    </x:row>
    <x:row r="941">
      <x:c r="K941" s="42"/>
      <x:c r="L941" s="42"/>
      <x:c r="M941" s="46"/>
      <x:c r="N941" s="46"/>
      <x:c r="O941" s="46"/>
      <x:c r="P941" s="46"/>
    </x:row>
    <x:row r="942">
      <x:c r="K942" s="42"/>
      <x:c r="L942" s="42"/>
      <x:c r="M942" s="46"/>
      <x:c r="N942" s="46"/>
      <x:c r="O942" s="46"/>
      <x:c r="P942" s="46"/>
    </x:row>
    <x:row r="943">
      <x:c r="K943" s="42"/>
      <x:c r="L943" s="42"/>
      <x:c r="M943" s="46"/>
      <x:c r="N943" s="46"/>
      <x:c r="O943" s="46"/>
      <x:c r="P943" s="46"/>
    </x:row>
    <x:row r="944">
      <x:c r="K944" s="42"/>
      <x:c r="L944" s="42"/>
      <x:c r="M944" s="46"/>
      <x:c r="N944" s="46"/>
      <x:c r="O944" s="46"/>
      <x:c r="P944" s="46"/>
    </x:row>
    <x:row r="945">
      <x:c r="K945" s="42"/>
      <x:c r="L945" s="42"/>
      <x:c r="M945" s="46"/>
      <x:c r="N945" s="46"/>
      <x:c r="O945" s="46"/>
      <x:c r="P945" s="46"/>
    </x:row>
    <x:row r="946">
      <x:c r="K946" s="42"/>
      <x:c r="L946" s="42"/>
      <x:c r="M946" s="46"/>
      <x:c r="N946" s="46"/>
      <x:c r="O946" s="46"/>
      <x:c r="P946" s="46"/>
    </x:row>
    <x:row r="947">
      <x:c r="K947" s="42"/>
      <x:c r="L947" s="42"/>
      <x:c r="M947" s="46"/>
      <x:c r="N947" s="46"/>
      <x:c r="O947" s="46"/>
      <x:c r="P947" s="46"/>
    </x:row>
    <x:row r="948">
      <x:c r="K948" s="42"/>
      <x:c r="L948" s="42"/>
      <x:c r="M948" s="46"/>
      <x:c r="N948" s="46"/>
      <x:c r="O948" s="46"/>
      <x:c r="P948" s="46"/>
    </x:row>
    <x:row r="949">
      <x:c r="K949" s="42"/>
      <x:c r="L949" s="42"/>
      <x:c r="M949" s="46"/>
      <x:c r="N949" s="46"/>
      <x:c r="O949" s="46"/>
      <x:c r="P949" s="46"/>
    </x:row>
    <x:row r="950">
      <x:c r="K950" s="42"/>
      <x:c r="L950" s="42"/>
      <x:c r="M950" s="46"/>
      <x:c r="N950" s="46"/>
      <x:c r="O950" s="46"/>
      <x:c r="P950" s="46"/>
    </x:row>
    <x:row r="951">
      <x:c r="K951" s="42"/>
      <x:c r="L951" s="42"/>
      <x:c r="M951" s="46"/>
      <x:c r="N951" s="46"/>
      <x:c r="O951" s="46"/>
      <x:c r="P951" s="46"/>
    </x:row>
    <x:row r="952">
      <x:c r="K952" s="42"/>
      <x:c r="L952" s="42"/>
      <x:c r="M952" s="46"/>
      <x:c r="N952" s="46"/>
      <x:c r="O952" s="46"/>
      <x:c r="P952" s="46"/>
    </x:row>
    <x:row r="953">
      <x:c r="K953" s="42"/>
      <x:c r="L953" s="42"/>
      <x:c r="M953" s="46"/>
      <x:c r="N953" s="46"/>
      <x:c r="O953" s="46"/>
      <x:c r="P953" s="46"/>
    </x:row>
    <x:row r="954">
      <x:c r="K954" s="42"/>
      <x:c r="L954" s="42"/>
      <x:c r="M954" s="46"/>
      <x:c r="N954" s="46"/>
      <x:c r="O954" s="46"/>
      <x:c r="P954" s="46"/>
    </x:row>
    <x:row r="955">
      <x:c r="K955" s="42"/>
      <x:c r="L955" s="42"/>
      <x:c r="M955" s="46"/>
      <x:c r="N955" s="46"/>
      <x:c r="O955" s="46"/>
      <x:c r="P955" s="46"/>
    </x:row>
    <x:row r="956">
      <x:c r="K956" s="42"/>
      <x:c r="L956" s="42"/>
      <x:c r="M956" s="46"/>
      <x:c r="N956" s="46"/>
      <x:c r="O956" s="46"/>
      <x:c r="P956" s="46"/>
    </x:row>
    <x:row r="957">
      <x:c r="K957" s="42"/>
      <x:c r="L957" s="42"/>
      <x:c r="M957" s="46"/>
      <x:c r="N957" s="46"/>
      <x:c r="O957" s="46"/>
      <x:c r="P957" s="46"/>
    </x:row>
    <x:row r="958">
      <x:c r="K958" s="42"/>
      <x:c r="L958" s="42"/>
      <x:c r="M958" s="46"/>
      <x:c r="N958" s="46"/>
      <x:c r="O958" s="46"/>
      <x:c r="P958" s="46"/>
    </x:row>
    <x:row r="959">
      <x:c r="K959" s="42"/>
      <x:c r="L959" s="42"/>
      <x:c r="M959" s="46"/>
      <x:c r="N959" s="46"/>
      <x:c r="O959" s="46"/>
      <x:c r="P959" s="46"/>
    </x:row>
    <x:row r="960">
      <x:c r="K960" s="42"/>
      <x:c r="L960" s="42"/>
      <x:c r="M960" s="46"/>
      <x:c r="N960" s="46"/>
      <x:c r="O960" s="46"/>
      <x:c r="P960" s="46"/>
    </x:row>
    <x:row r="961">
      <x:c r="K961" s="42"/>
      <x:c r="L961" s="42"/>
      <x:c r="M961" s="46"/>
      <x:c r="N961" s="46"/>
      <x:c r="O961" s="46"/>
      <x:c r="P961" s="46"/>
    </x:row>
    <x:row r="962">
      <x:c r="K962" s="42"/>
      <x:c r="L962" s="42"/>
      <x:c r="M962" s="46"/>
      <x:c r="N962" s="46"/>
      <x:c r="O962" s="46"/>
      <x:c r="P962" s="46"/>
    </x:row>
    <x:row r="963">
      <x:c r="K963" s="42"/>
      <x:c r="L963" s="42"/>
      <x:c r="M963" s="46"/>
      <x:c r="N963" s="46"/>
      <x:c r="O963" s="46"/>
      <x:c r="P963" s="46"/>
    </x:row>
    <x:row r="964">
      <x:c r="K964" s="42"/>
      <x:c r="L964" s="42"/>
      <x:c r="M964" s="46"/>
      <x:c r="N964" s="46"/>
      <x:c r="O964" s="46"/>
      <x:c r="P964" s="46"/>
    </x:row>
    <x:row r="965">
      <x:c r="K965" s="42"/>
      <x:c r="L965" s="42"/>
      <x:c r="M965" s="46"/>
      <x:c r="N965" s="46"/>
      <x:c r="O965" s="46"/>
      <x:c r="P965" s="46"/>
    </x:row>
    <x:row r="966">
      <x:c r="K966" s="42"/>
      <x:c r="L966" s="42"/>
      <x:c r="M966" s="46"/>
      <x:c r="N966" s="46"/>
      <x:c r="O966" s="46"/>
      <x:c r="P966" s="46"/>
    </x:row>
    <x:row r="967">
      <x:c r="K967" s="42"/>
      <x:c r="L967" s="42"/>
      <x:c r="M967" s="46"/>
      <x:c r="N967" s="46"/>
      <x:c r="O967" s="46"/>
      <x:c r="P967" s="46"/>
    </x:row>
    <x:row r="968">
      <x:c r="K968" s="42"/>
      <x:c r="L968" s="42"/>
      <x:c r="M968" s="46"/>
      <x:c r="N968" s="46"/>
      <x:c r="O968" s="46"/>
      <x:c r="P968" s="46"/>
    </x:row>
    <x:row r="969">
      <x:c r="K969" s="42"/>
      <x:c r="L969" s="42"/>
      <x:c r="M969" s="46"/>
      <x:c r="N969" s="46"/>
      <x:c r="O969" s="46"/>
      <x:c r="P969" s="46"/>
    </x:row>
    <x:row r="970">
      <x:c r="K970" s="42"/>
      <x:c r="L970" s="42"/>
      <x:c r="M970" s="46"/>
      <x:c r="N970" s="46"/>
      <x:c r="O970" s="46"/>
      <x:c r="P970" s="46"/>
    </x:row>
    <x:row r="971">
      <x:c r="K971" s="42"/>
      <x:c r="L971" s="42"/>
      <x:c r="M971" s="46"/>
      <x:c r="N971" s="46"/>
      <x:c r="O971" s="46"/>
      <x:c r="P971" s="46"/>
    </x:row>
    <x:row r="972">
      <x:c r="K972" s="42"/>
      <x:c r="L972" s="42"/>
      <x:c r="M972" s="46"/>
      <x:c r="N972" s="46"/>
      <x:c r="O972" s="46"/>
      <x:c r="P972" s="46"/>
    </x:row>
    <x:row r="973">
      <x:c r="K973" s="42"/>
      <x:c r="L973" s="42"/>
      <x:c r="M973" s="46"/>
      <x:c r="N973" s="46"/>
      <x:c r="O973" s="46"/>
      <x:c r="P973" s="46"/>
    </x:row>
    <x:row r="974">
      <x:c r="K974" s="42"/>
      <x:c r="L974" s="42"/>
      <x:c r="M974" s="46"/>
      <x:c r="N974" s="46"/>
      <x:c r="O974" s="46"/>
      <x:c r="P974" s="46"/>
    </x:row>
    <x:row r="975">
      <x:c r="K975" s="42"/>
      <x:c r="L975" s="42"/>
      <x:c r="M975" s="46"/>
      <x:c r="N975" s="46"/>
      <x:c r="O975" s="46"/>
      <x:c r="P975" s="46"/>
    </x:row>
    <x:row r="976">
      <x:c r="K976" s="42"/>
      <x:c r="L976" s="42"/>
      <x:c r="M976" s="46"/>
      <x:c r="N976" s="46"/>
      <x:c r="O976" s="46"/>
      <x:c r="P976" s="46"/>
    </x:row>
    <x:row r="977">
      <x:c r="K977" s="42"/>
      <x:c r="L977" s="42"/>
      <x:c r="M977" s="46"/>
      <x:c r="N977" s="46"/>
      <x:c r="O977" s="46"/>
      <x:c r="P977" s="46"/>
    </x:row>
    <x:row r="978">
      <x:c r="K978" s="42"/>
      <x:c r="L978" s="42"/>
      <x:c r="M978" s="46"/>
      <x:c r="N978" s="46"/>
      <x:c r="O978" s="46"/>
      <x:c r="P978" s="46"/>
    </x:row>
    <x:row r="979">
      <x:c r="K979" s="42"/>
      <x:c r="L979" s="42"/>
      <x:c r="M979" s="46"/>
      <x:c r="N979" s="46"/>
      <x:c r="O979" s="46"/>
      <x:c r="P979" s="46"/>
    </x:row>
    <x:row r="980">
      <x:c r="K980" s="42"/>
      <x:c r="L980" s="42"/>
      <x:c r="M980" s="46"/>
      <x:c r="N980" s="46"/>
      <x:c r="O980" s="46"/>
      <x:c r="P980" s="46"/>
    </x:row>
    <x:row r="981">
      <x:c r="K981" s="42"/>
      <x:c r="L981" s="42"/>
      <x:c r="M981" s="46"/>
      <x:c r="N981" s="46"/>
      <x:c r="O981" s="46"/>
      <x:c r="P981" s="46"/>
    </x:row>
    <x:row r="982">
      <x:c r="K982" s="42"/>
      <x:c r="L982" s="42"/>
      <x:c r="M982" s="46"/>
      <x:c r="N982" s="46"/>
      <x:c r="O982" s="46"/>
      <x:c r="P982" s="46"/>
    </x:row>
    <x:row r="983">
      <x:c r="K983" s="42"/>
      <x:c r="L983" s="42"/>
      <x:c r="M983" s="46"/>
      <x:c r="N983" s="46"/>
      <x:c r="O983" s="46"/>
      <x:c r="P983" s="46"/>
    </x:row>
    <x:row r="984">
      <x:c r="K984" s="42"/>
      <x:c r="L984" s="42"/>
      <x:c r="M984" s="46"/>
      <x:c r="N984" s="46"/>
      <x:c r="O984" s="46"/>
      <x:c r="P984" s="46"/>
    </x:row>
    <x:row r="985">
      <x:c r="K985" s="42"/>
      <x:c r="L985" s="42"/>
      <x:c r="M985" s="46"/>
      <x:c r="N985" s="46"/>
      <x:c r="O985" s="46"/>
      <x:c r="P985" s="46"/>
    </x:row>
    <x:row r="986">
      <x:c r="K986" s="42"/>
      <x:c r="L986" s="42"/>
      <x:c r="M986" s="46"/>
      <x:c r="N986" s="46"/>
      <x:c r="O986" s="46"/>
      <x:c r="P986" s="46"/>
    </x:row>
    <x:row r="987">
      <x:c r="K987" s="42"/>
      <x:c r="L987" s="42"/>
      <x:c r="M987" s="46"/>
      <x:c r="N987" s="46"/>
      <x:c r="O987" s="46"/>
      <x:c r="P987" s="46"/>
    </x:row>
    <x:row r="988">
      <x:c r="K988" s="42"/>
      <x:c r="L988" s="42"/>
      <x:c r="M988" s="46"/>
      <x:c r="N988" s="46"/>
      <x:c r="O988" s="46"/>
      <x:c r="P988" s="46"/>
    </x:row>
    <x:row r="989">
      <x:c r="K989" s="42"/>
      <x:c r="L989" s="42"/>
      <x:c r="M989" s="46"/>
      <x:c r="N989" s="46"/>
      <x:c r="O989" s="46"/>
      <x:c r="P989" s="46"/>
    </x:row>
    <x:row r="990">
      <x:c r="K990" s="42"/>
      <x:c r="L990" s="42"/>
      <x:c r="M990" s="46"/>
      <x:c r="N990" s="46"/>
      <x:c r="O990" s="46"/>
      <x:c r="P990" s="46"/>
    </x:row>
    <x:row r="991">
      <x:c r="K991" s="42"/>
      <x:c r="L991" s="42"/>
      <x:c r="M991" s="46"/>
      <x:c r="N991" s="46"/>
      <x:c r="O991" s="46"/>
      <x:c r="P991" s="46"/>
    </x:row>
    <x:row r="992">
      <x:c r="K992" s="42"/>
      <x:c r="L992" s="42"/>
      <x:c r="M992" s="46"/>
      <x:c r="N992" s="46"/>
      <x:c r="O992" s="46"/>
      <x:c r="P992" s="46"/>
    </x:row>
    <x:row r="993">
      <x:c r="K993" s="42"/>
      <x:c r="L993" s="42"/>
      <x:c r="M993" s="46"/>
      <x:c r="N993" s="46"/>
      <x:c r="O993" s="46"/>
      <x:c r="P993" s="46"/>
    </x:row>
    <x:row r="994">
      <x:c r="K994" s="42"/>
      <x:c r="L994" s="42"/>
      <x:c r="M994" s="46"/>
      <x:c r="N994" s="46"/>
      <x:c r="O994" s="46"/>
      <x:c r="P994" s="46"/>
    </x:row>
    <x:row r="995">
      <x:c r="K995" s="42"/>
      <x:c r="L995" s="42"/>
      <x:c r="M995" s="46"/>
      <x:c r="N995" s="46"/>
      <x:c r="O995" s="46"/>
      <x:c r="P995" s="46"/>
    </x:row>
    <x:row r="996">
      <x:c r="K996" s="42"/>
      <x:c r="L996" s="42"/>
      <x:c r="M996" s="46"/>
      <x:c r="N996" s="46"/>
      <x:c r="O996" s="46"/>
      <x:c r="P996" s="46"/>
    </x:row>
    <x:row r="997">
      <x:c r="K997" s="42"/>
      <x:c r="L997" s="42"/>
      <x:c r="M997" s="46"/>
      <x:c r="N997" s="46"/>
      <x:c r="O997" s="46"/>
      <x:c r="P997" s="46"/>
    </x:row>
    <x:row r="998">
      <x:c r="K998" s="42"/>
      <x:c r="L998" s="42"/>
      <x:c r="M998" s="46"/>
      <x:c r="N998" s="46"/>
      <x:c r="O998" s="46"/>
      <x:c r="P998" s="46"/>
    </x:row>
    <x:row r="999">
      <x:c r="K999" s="42"/>
      <x:c r="L999" s="42"/>
      <x:c r="M999" s="46"/>
      <x:c r="N999" s="46"/>
      <x:c r="O999" s="46"/>
      <x:c r="P999" s="46"/>
    </x:row>
    <x:row r="1000">
      <x:c r="K1000" s="42"/>
      <x:c r="L1000" s="42"/>
      <x:c r="M1000" s="46"/>
      <x:c r="N1000" s="46"/>
      <x:c r="O1000" s="46"/>
      <x:c r="P1000" s="46"/>
    </x:row>
  </x:sheetData>
  <x:mergeCells>
    <x:mergeCell ref="A1:R1"/>
  </x:mergeCells>
  <x:dataValidations count="1">
    <x:dataValidation type="list" sqref="Q4:R100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28" hidden="0" customWidth="1"/>
    <x:col min="9" max="9" width="16" hidden="0" customWidth="1"/>
    <x:col min="10" max="10" width="38" hidden="0" customWidth="1"/>
    <x:col min="11" max="11" width="22" hidden="0" customWidth="1"/>
    <x:col min="12" max="12" width="12" hidden="0" customWidth="1"/>
    <x:col min="13" max="13" width="14" hidden="0" customWidth="1"/>
    <x:col min="14" max="14" width="16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24" hidden="0" customWidth="1"/>
    <x:col min="20" max="20" width="20" hidden="0" customWidth="1"/>
    <x:col min="21" max="21" width="16" hidden="0" customWidth="1"/>
  </x:cols>
  <x:sheetData>
    <x:row r="1">
      <x:c r="A1" s="5" t="str">
        <x:v>Purchase Order History &amp; Open Commitments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3">
      <x:c r="A3" s="34" t="str">
        <x:v>PO Number</x:v>
      </x:c>
      <x:c r="B3" s="34" t="str">
        <x:v>PO Date</x:v>
      </x:c>
      <x:c r="C3" s="34" t="str">
        <x:v>Company Code</x:v>
      </x:c>
      <x:c r="D3" s="34" t="str">
        <x:v>Location</x:v>
      </x:c>
      <x:c r="E3" s="34" t="str">
        <x:v>Department</x:v>
      </x:c>
      <x:c r="F3" s="34" t="str">
        <x:v>Buyer</x:v>
      </x:c>
      <x:c r="G3" s="34" t="str">
        <x:v>Supplier ID</x:v>
      </x:c>
      <x:c r="H3" s="34" t="str">
        <x:v>Supplier Name</x:v>
      </x:c>
      <x:c r="I3" s="34" t="str">
        <x:v>Item ID</x:v>
      </x:c>
      <x:c r="J3" s="34" t="str">
        <x:v>Description</x:v>
      </x:c>
      <x:c r="K3" s="34" t="str">
        <x:v>Category</x:v>
      </x:c>
      <x:c r="L3" s="34" t="str">
        <x:v>Quantity</x:v>
      </x:c>
      <x:c r="M3" s="34" t="str">
        <x:v>Unit Cost</x:v>
      </x:c>
      <x:c r="N3" s="34" t="str">
        <x:v>Line Total</x:v>
      </x:c>
      <x:c r="O3" s="34" t="str">
        <x:v>Required Date</x:v>
      </x:c>
      <x:c r="P3" s="34" t="str">
        <x:v>Expected Date</x:v>
      </x:c>
      <x:c r="Q3" s="34" t="str">
        <x:v>Received Date</x:v>
      </x:c>
      <x:c r="R3" s="34" t="str">
        <x:v>Status</x:v>
      </x:c>
      <x:c r="S3" s="34" t="str">
        <x:v>Business Purpose</x:v>
      </x:c>
      <x:c r="T3" s="34" t="str">
        <x:v>Project / Work Order</x:v>
      </x:c>
      <x:c r="U3" s="34" t="str">
        <x:v>Expedite Freight</x:v>
      </x:c>
    </x:row>
    <x:row r="4">
      <x:c r="B4" s="40"/>
      <x:c r="M4" s="42"/>
      <x:c r="N4" s="42" t="str">
        <x:f>IF(OR(L4="",M4=""),"",L4*M4)</x:f>
      </x:c>
      <x:c r="O4" s="40"/>
      <x:c r="P4" s="40"/>
      <x:c r="Q4" s="40"/>
      <x:c r="U4" s="42"/>
    </x:row>
    <x:row r="5">
      <x:c r="B5" s="40"/>
      <x:c r="M5" s="42"/>
      <x:c r="N5" s="42" t="str">
        <x:f>IF(OR(L5="",M5=""),"",L5*M5)</x:f>
      </x:c>
      <x:c r="O5" s="40"/>
      <x:c r="P5" s="40"/>
      <x:c r="Q5" s="40"/>
      <x:c r="U5" s="42"/>
    </x:row>
    <x:row r="6">
      <x:c r="B6" s="40"/>
      <x:c r="M6" s="42"/>
      <x:c r="N6" s="42" t="str">
        <x:f>IF(OR(L6="",M6=""),"",L6*M6)</x:f>
      </x:c>
      <x:c r="O6" s="40"/>
      <x:c r="P6" s="40"/>
      <x:c r="Q6" s="40"/>
      <x:c r="U6" s="42"/>
    </x:row>
    <x:row r="7">
      <x:c r="B7" s="40"/>
      <x:c r="M7" s="42"/>
      <x:c r="N7" s="42" t="str">
        <x:f>IF(OR(L7="",M7=""),"",L7*M7)</x:f>
      </x:c>
      <x:c r="O7" s="40"/>
      <x:c r="P7" s="40"/>
      <x:c r="Q7" s="40"/>
      <x:c r="U7" s="42"/>
    </x:row>
    <x:row r="8">
      <x:c r="B8" s="40"/>
      <x:c r="M8" s="42"/>
      <x:c r="N8" s="42" t="str">
        <x:f>IF(OR(L8="",M8=""),"",L8*M8)</x:f>
      </x:c>
      <x:c r="O8" s="40"/>
      <x:c r="P8" s="40"/>
      <x:c r="Q8" s="40"/>
      <x:c r="U8" s="42"/>
    </x:row>
    <x:row r="9">
      <x:c r="B9" s="40"/>
      <x:c r="M9" s="42"/>
      <x:c r="N9" s="42" t="str">
        <x:f>IF(OR(L9="",M9=""),"",L9*M9)</x:f>
      </x:c>
      <x:c r="O9" s="40"/>
      <x:c r="P9" s="40"/>
      <x:c r="Q9" s="40"/>
      <x:c r="U9" s="42"/>
    </x:row>
    <x:row r="10">
      <x:c r="B10" s="40"/>
      <x:c r="M10" s="42"/>
      <x:c r="N10" s="42" t="str">
        <x:f>IF(OR(L10="",M10=""),"",L10*M10)</x:f>
      </x:c>
      <x:c r="O10" s="40"/>
      <x:c r="P10" s="40"/>
      <x:c r="Q10" s="40"/>
      <x:c r="U10" s="42"/>
    </x:row>
    <x:row r="11">
      <x:c r="B11" s="40"/>
      <x:c r="M11" s="42"/>
      <x:c r="N11" s="42" t="str">
        <x:f>IF(OR(L11="",M11=""),"",L11*M11)</x:f>
      </x:c>
      <x:c r="O11" s="40"/>
      <x:c r="P11" s="40"/>
      <x:c r="Q11" s="40"/>
      <x:c r="U11" s="42"/>
    </x:row>
    <x:row r="12">
      <x:c r="B12" s="40"/>
      <x:c r="M12" s="42"/>
      <x:c r="N12" s="42" t="str">
        <x:f>IF(OR(L12="",M12=""),"",L12*M12)</x:f>
      </x:c>
      <x:c r="O12" s="40"/>
      <x:c r="P12" s="40"/>
      <x:c r="Q12" s="40"/>
      <x:c r="U12" s="42"/>
    </x:row>
    <x:row r="13">
      <x:c r="B13" s="40"/>
      <x:c r="M13" s="42"/>
      <x:c r="N13" s="42" t="str">
        <x:f>IF(OR(L13="",M13=""),"",L13*M13)</x:f>
      </x:c>
      <x:c r="O13" s="40"/>
      <x:c r="P13" s="40"/>
      <x:c r="Q13" s="40"/>
      <x:c r="U13" s="42"/>
    </x:row>
    <x:row r="14">
      <x:c r="B14" s="40"/>
      <x:c r="M14" s="42"/>
      <x:c r="N14" s="42" t="str">
        <x:f>IF(OR(L14="",M14=""),"",L14*M14)</x:f>
      </x:c>
      <x:c r="O14" s="40"/>
      <x:c r="P14" s="40"/>
      <x:c r="Q14" s="40"/>
      <x:c r="U14" s="42"/>
    </x:row>
    <x:row r="15">
      <x:c r="B15" s="40"/>
      <x:c r="M15" s="42"/>
      <x:c r="N15" s="42" t="str">
        <x:f>IF(OR(L15="",M15=""),"",L15*M15)</x:f>
      </x:c>
      <x:c r="O15" s="40"/>
      <x:c r="P15" s="40"/>
      <x:c r="Q15" s="40"/>
      <x:c r="U15" s="42"/>
    </x:row>
    <x:row r="16">
      <x:c r="B16" s="40"/>
      <x:c r="M16" s="42"/>
      <x:c r="N16" s="42" t="str">
        <x:f>IF(OR(L16="",M16=""),"",L16*M16)</x:f>
      </x:c>
      <x:c r="O16" s="40"/>
      <x:c r="P16" s="40"/>
      <x:c r="Q16" s="40"/>
      <x:c r="U16" s="42"/>
    </x:row>
    <x:row r="17">
      <x:c r="B17" s="40"/>
      <x:c r="M17" s="42"/>
      <x:c r="N17" s="42" t="str">
        <x:f>IF(OR(L17="",M17=""),"",L17*M17)</x:f>
      </x:c>
      <x:c r="O17" s="40"/>
      <x:c r="P17" s="40"/>
      <x:c r="Q17" s="40"/>
      <x:c r="U17" s="42"/>
    </x:row>
    <x:row r="18">
      <x:c r="B18" s="40"/>
      <x:c r="M18" s="42"/>
      <x:c r="N18" s="42" t="str">
        <x:f>IF(OR(L18="",M18=""),"",L18*M18)</x:f>
      </x:c>
      <x:c r="O18" s="40"/>
      <x:c r="P18" s="40"/>
      <x:c r="Q18" s="40"/>
      <x:c r="U18" s="42"/>
    </x:row>
    <x:row r="19">
      <x:c r="B19" s="40"/>
      <x:c r="M19" s="42"/>
      <x:c r="N19" s="42" t="str">
        <x:f>IF(OR(L19="",M19=""),"",L19*M19)</x:f>
      </x:c>
      <x:c r="O19" s="40"/>
      <x:c r="P19" s="40"/>
      <x:c r="Q19" s="40"/>
      <x:c r="U19" s="42"/>
    </x:row>
    <x:row r="20">
      <x:c r="B20" s="40"/>
      <x:c r="M20" s="42"/>
      <x:c r="N20" s="42" t="str">
        <x:f>IF(OR(L20="",M20=""),"",L20*M20)</x:f>
      </x:c>
      <x:c r="O20" s="40"/>
      <x:c r="P20" s="40"/>
      <x:c r="Q20" s="40"/>
      <x:c r="U20" s="42"/>
    </x:row>
    <x:row r="21">
      <x:c r="B21" s="40"/>
      <x:c r="M21" s="42"/>
      <x:c r="N21" s="42" t="str">
        <x:f>IF(OR(L21="",M21=""),"",L21*M21)</x:f>
      </x:c>
      <x:c r="O21" s="40"/>
      <x:c r="P21" s="40"/>
      <x:c r="Q21" s="40"/>
      <x:c r="U21" s="42"/>
    </x:row>
    <x:row r="22">
      <x:c r="B22" s="40"/>
      <x:c r="M22" s="42"/>
      <x:c r="N22" s="42" t="str">
        <x:f>IF(OR(L22="",M22=""),"",L22*M22)</x:f>
      </x:c>
      <x:c r="O22" s="40"/>
      <x:c r="P22" s="40"/>
      <x:c r="Q22" s="40"/>
      <x:c r="U22" s="42"/>
    </x:row>
    <x:row r="23">
      <x:c r="B23" s="40"/>
      <x:c r="M23" s="42"/>
      <x:c r="N23" s="42" t="str">
        <x:f>IF(OR(L23="",M23=""),"",L23*M23)</x:f>
      </x:c>
      <x:c r="O23" s="40"/>
      <x:c r="P23" s="40"/>
      <x:c r="Q23" s="40"/>
      <x:c r="U23" s="42"/>
    </x:row>
    <x:row r="24">
      <x:c r="B24" s="40"/>
      <x:c r="M24" s="42"/>
      <x:c r="N24" s="42" t="str">
        <x:f>IF(OR(L24="",M24=""),"",L24*M24)</x:f>
      </x:c>
      <x:c r="O24" s="40"/>
      <x:c r="P24" s="40"/>
      <x:c r="Q24" s="40"/>
      <x:c r="U24" s="42"/>
    </x:row>
    <x:row r="25">
      <x:c r="B25" s="40"/>
      <x:c r="M25" s="42"/>
      <x:c r="N25" s="42" t="str">
        <x:f>IF(OR(L25="",M25=""),"",L25*M25)</x:f>
      </x:c>
      <x:c r="O25" s="40"/>
      <x:c r="P25" s="40"/>
      <x:c r="Q25" s="40"/>
      <x:c r="U25" s="42"/>
    </x:row>
    <x:row r="26">
      <x:c r="B26" s="40"/>
      <x:c r="M26" s="42"/>
      <x:c r="N26" s="42" t="str">
        <x:f>IF(OR(L26="",M26=""),"",L26*M26)</x:f>
      </x:c>
      <x:c r="O26" s="40"/>
      <x:c r="P26" s="40"/>
      <x:c r="Q26" s="40"/>
      <x:c r="U26" s="42"/>
    </x:row>
    <x:row r="27">
      <x:c r="B27" s="40"/>
      <x:c r="M27" s="42"/>
      <x:c r="N27" s="42" t="str">
        <x:f>IF(OR(L27="",M27=""),"",L27*M27)</x:f>
      </x:c>
      <x:c r="O27" s="40"/>
      <x:c r="P27" s="40"/>
      <x:c r="Q27" s="40"/>
      <x:c r="U27" s="42"/>
    </x:row>
    <x:row r="28">
      <x:c r="B28" s="40"/>
      <x:c r="M28" s="42"/>
      <x:c r="N28" s="42" t="str">
        <x:f>IF(OR(L28="",M28=""),"",L28*M28)</x:f>
      </x:c>
      <x:c r="O28" s="40"/>
      <x:c r="P28" s="40"/>
      <x:c r="Q28" s="40"/>
      <x:c r="U28" s="42"/>
    </x:row>
    <x:row r="29">
      <x:c r="B29" s="40"/>
      <x:c r="M29" s="42"/>
      <x:c r="N29" s="42" t="str">
        <x:f>IF(OR(L29="",M29=""),"",L29*M29)</x:f>
      </x:c>
      <x:c r="O29" s="40"/>
      <x:c r="P29" s="40"/>
      <x:c r="Q29" s="40"/>
      <x:c r="U29" s="42"/>
    </x:row>
    <x:row r="30">
      <x:c r="B30" s="40"/>
      <x:c r="M30" s="42"/>
      <x:c r="N30" s="42" t="str">
        <x:f>IF(OR(L30="",M30=""),"",L30*M30)</x:f>
      </x:c>
      <x:c r="O30" s="40"/>
      <x:c r="P30" s="40"/>
      <x:c r="Q30" s="40"/>
      <x:c r="U30" s="42"/>
    </x:row>
    <x:row r="31">
      <x:c r="B31" s="40"/>
      <x:c r="M31" s="42"/>
      <x:c r="N31" s="42" t="str">
        <x:f>IF(OR(L31="",M31=""),"",L31*M31)</x:f>
      </x:c>
      <x:c r="O31" s="40"/>
      <x:c r="P31" s="40"/>
      <x:c r="Q31" s="40"/>
      <x:c r="U31" s="42"/>
    </x:row>
    <x:row r="32">
      <x:c r="B32" s="40"/>
      <x:c r="M32" s="42"/>
      <x:c r="N32" s="42" t="str">
        <x:f>IF(OR(L32="",M32=""),"",L32*M32)</x:f>
      </x:c>
      <x:c r="O32" s="40"/>
      <x:c r="P32" s="40"/>
      <x:c r="Q32" s="40"/>
      <x:c r="U32" s="42"/>
    </x:row>
    <x:row r="33">
      <x:c r="B33" s="40"/>
      <x:c r="M33" s="42"/>
      <x:c r="N33" s="42" t="str">
        <x:f>IF(OR(L33="",M33=""),"",L33*M33)</x:f>
      </x:c>
      <x:c r="O33" s="40"/>
      <x:c r="P33" s="40"/>
      <x:c r="Q33" s="40"/>
      <x:c r="U33" s="42"/>
    </x:row>
    <x:row r="34">
      <x:c r="B34" s="40"/>
      <x:c r="M34" s="42"/>
      <x:c r="N34" s="42" t="str">
        <x:f>IF(OR(L34="",M34=""),"",L34*M34)</x:f>
      </x:c>
      <x:c r="O34" s="40"/>
      <x:c r="P34" s="40"/>
      <x:c r="Q34" s="40"/>
      <x:c r="U34" s="42"/>
    </x:row>
    <x:row r="35">
      <x:c r="B35" s="40"/>
      <x:c r="M35" s="42"/>
      <x:c r="N35" s="42" t="str">
        <x:f>IF(OR(L35="",M35=""),"",L35*M35)</x:f>
      </x:c>
      <x:c r="O35" s="40"/>
      <x:c r="P35" s="40"/>
      <x:c r="Q35" s="40"/>
      <x:c r="U35" s="42"/>
    </x:row>
    <x:row r="36">
      <x:c r="B36" s="40"/>
      <x:c r="M36" s="42"/>
      <x:c r="N36" s="42" t="str">
        <x:f>IF(OR(L36="",M36=""),"",L36*M36)</x:f>
      </x:c>
      <x:c r="O36" s="40"/>
      <x:c r="P36" s="40"/>
      <x:c r="Q36" s="40"/>
      <x:c r="U36" s="42"/>
    </x:row>
    <x:row r="37">
      <x:c r="B37" s="40"/>
      <x:c r="M37" s="42"/>
      <x:c r="N37" s="42" t="str">
        <x:f>IF(OR(L37="",M37=""),"",L37*M37)</x:f>
      </x:c>
      <x:c r="O37" s="40"/>
      <x:c r="P37" s="40"/>
      <x:c r="Q37" s="40"/>
      <x:c r="U37" s="42"/>
    </x:row>
    <x:row r="38">
      <x:c r="B38" s="40"/>
      <x:c r="M38" s="42"/>
      <x:c r="N38" s="42" t="str">
        <x:f>IF(OR(L38="",M38=""),"",L38*M38)</x:f>
      </x:c>
      <x:c r="O38" s="40"/>
      <x:c r="P38" s="40"/>
      <x:c r="Q38" s="40"/>
      <x:c r="U38" s="42"/>
    </x:row>
    <x:row r="39">
      <x:c r="B39" s="40"/>
      <x:c r="M39" s="42"/>
      <x:c r="N39" s="42" t="str">
        <x:f>IF(OR(L39="",M39=""),"",L39*M39)</x:f>
      </x:c>
      <x:c r="O39" s="40"/>
      <x:c r="P39" s="40"/>
      <x:c r="Q39" s="40"/>
      <x:c r="U39" s="42"/>
    </x:row>
    <x:row r="40">
      <x:c r="B40" s="40"/>
      <x:c r="M40" s="42"/>
      <x:c r="N40" s="42" t="str">
        <x:f>IF(OR(L40="",M40=""),"",L40*M40)</x:f>
      </x:c>
      <x:c r="O40" s="40"/>
      <x:c r="P40" s="40"/>
      <x:c r="Q40" s="40"/>
      <x:c r="U40" s="42"/>
    </x:row>
    <x:row r="41">
      <x:c r="B41" s="40"/>
      <x:c r="M41" s="42"/>
      <x:c r="N41" s="42" t="str">
        <x:f>IF(OR(L41="",M41=""),"",L41*M41)</x:f>
      </x:c>
      <x:c r="O41" s="40"/>
      <x:c r="P41" s="40"/>
      <x:c r="Q41" s="40"/>
      <x:c r="U41" s="42"/>
    </x:row>
    <x:row r="42">
      <x:c r="B42" s="40"/>
      <x:c r="M42" s="42"/>
      <x:c r="N42" s="42" t="str">
        <x:f>IF(OR(L42="",M42=""),"",L42*M42)</x:f>
      </x:c>
      <x:c r="O42" s="40"/>
      <x:c r="P42" s="40"/>
      <x:c r="Q42" s="40"/>
      <x:c r="U42" s="42"/>
    </x:row>
    <x:row r="43">
      <x:c r="B43" s="40"/>
      <x:c r="M43" s="42"/>
      <x:c r="N43" s="42" t="str">
        <x:f>IF(OR(L43="",M43=""),"",L43*M43)</x:f>
      </x:c>
      <x:c r="O43" s="40"/>
      <x:c r="P43" s="40"/>
      <x:c r="Q43" s="40"/>
      <x:c r="U43" s="42"/>
    </x:row>
    <x:row r="44">
      <x:c r="B44" s="40"/>
      <x:c r="M44" s="42"/>
      <x:c r="N44" s="42" t="str">
        <x:f>IF(OR(L44="",M44=""),"",L44*M44)</x:f>
      </x:c>
      <x:c r="O44" s="40"/>
      <x:c r="P44" s="40"/>
      <x:c r="Q44" s="40"/>
      <x:c r="U44" s="42"/>
    </x:row>
    <x:row r="45">
      <x:c r="B45" s="40"/>
      <x:c r="M45" s="42"/>
      <x:c r="N45" s="42" t="str">
        <x:f>IF(OR(L45="",M45=""),"",L45*M45)</x:f>
      </x:c>
      <x:c r="O45" s="40"/>
      <x:c r="P45" s="40"/>
      <x:c r="Q45" s="40"/>
      <x:c r="U45" s="42"/>
    </x:row>
    <x:row r="46">
      <x:c r="B46" s="40"/>
      <x:c r="M46" s="42"/>
      <x:c r="N46" s="42" t="str">
        <x:f>IF(OR(L46="",M46=""),"",L46*M46)</x:f>
      </x:c>
      <x:c r="O46" s="40"/>
      <x:c r="P46" s="40"/>
      <x:c r="Q46" s="40"/>
      <x:c r="U46" s="42"/>
    </x:row>
    <x:row r="47">
      <x:c r="B47" s="40"/>
      <x:c r="M47" s="42"/>
      <x:c r="N47" s="42" t="str">
        <x:f>IF(OR(L47="",M47=""),"",L47*M47)</x:f>
      </x:c>
      <x:c r="O47" s="40"/>
      <x:c r="P47" s="40"/>
      <x:c r="Q47" s="40"/>
      <x:c r="U47" s="42"/>
    </x:row>
    <x:row r="48">
      <x:c r="B48" s="40"/>
      <x:c r="M48" s="42"/>
      <x:c r="N48" s="42" t="str">
        <x:f>IF(OR(L48="",M48=""),"",L48*M48)</x:f>
      </x:c>
      <x:c r="O48" s="40"/>
      <x:c r="P48" s="40"/>
      <x:c r="Q48" s="40"/>
      <x:c r="U48" s="42"/>
    </x:row>
    <x:row r="49">
      <x:c r="B49" s="40"/>
      <x:c r="M49" s="42"/>
      <x:c r="N49" s="42" t="str">
        <x:f>IF(OR(L49="",M49=""),"",L49*M49)</x:f>
      </x:c>
      <x:c r="O49" s="40"/>
      <x:c r="P49" s="40"/>
      <x:c r="Q49" s="40"/>
      <x:c r="U49" s="42"/>
    </x:row>
    <x:row r="50">
      <x:c r="B50" s="40"/>
      <x:c r="M50" s="42"/>
      <x:c r="N50" s="42" t="str">
        <x:f>IF(OR(L50="",M50=""),"",L50*M50)</x:f>
      </x:c>
      <x:c r="O50" s="40"/>
      <x:c r="P50" s="40"/>
      <x:c r="Q50" s="40"/>
      <x:c r="U50" s="42"/>
    </x:row>
    <x:row r="51">
      <x:c r="B51" s="40"/>
      <x:c r="M51" s="42"/>
      <x:c r="N51" s="42" t="str">
        <x:f>IF(OR(L51="",M51=""),"",L51*M51)</x:f>
      </x:c>
      <x:c r="O51" s="40"/>
      <x:c r="P51" s="40"/>
      <x:c r="Q51" s="40"/>
      <x:c r="U51" s="42"/>
    </x:row>
    <x:row r="52">
      <x:c r="B52" s="40"/>
      <x:c r="M52" s="42"/>
      <x:c r="N52" s="42" t="str">
        <x:f>IF(OR(L52="",M52=""),"",L52*M52)</x:f>
      </x:c>
      <x:c r="O52" s="40"/>
      <x:c r="P52" s="40"/>
      <x:c r="Q52" s="40"/>
      <x:c r="U52" s="42"/>
    </x:row>
    <x:row r="53">
      <x:c r="B53" s="40"/>
      <x:c r="M53" s="42"/>
      <x:c r="N53" s="42" t="str">
        <x:f>IF(OR(L53="",M53=""),"",L53*M53)</x:f>
      </x:c>
      <x:c r="O53" s="40"/>
      <x:c r="P53" s="40"/>
      <x:c r="Q53" s="40"/>
      <x:c r="U53" s="42"/>
    </x:row>
    <x:row r="54">
      <x:c r="B54" s="40"/>
      <x:c r="M54" s="42"/>
      <x:c r="N54" s="42" t="str">
        <x:f>IF(OR(L54="",M54=""),"",L54*M54)</x:f>
      </x:c>
      <x:c r="O54" s="40"/>
      <x:c r="P54" s="40"/>
      <x:c r="Q54" s="40"/>
      <x:c r="U54" s="42"/>
    </x:row>
    <x:row r="55">
      <x:c r="B55" s="40"/>
      <x:c r="M55" s="42"/>
      <x:c r="N55" s="42" t="str">
        <x:f>IF(OR(L55="",M55=""),"",L55*M55)</x:f>
      </x:c>
      <x:c r="O55" s="40"/>
      <x:c r="P55" s="40"/>
      <x:c r="Q55" s="40"/>
      <x:c r="U55" s="42"/>
    </x:row>
    <x:row r="56">
      <x:c r="B56" s="40"/>
      <x:c r="M56" s="42"/>
      <x:c r="N56" s="42" t="str">
        <x:f>IF(OR(L56="",M56=""),"",L56*M56)</x:f>
      </x:c>
      <x:c r="O56" s="40"/>
      <x:c r="P56" s="40"/>
      <x:c r="Q56" s="40"/>
      <x:c r="U56" s="42"/>
    </x:row>
    <x:row r="57">
      <x:c r="B57" s="40"/>
      <x:c r="M57" s="42"/>
      <x:c r="N57" s="42" t="str">
        <x:f>IF(OR(L57="",M57=""),"",L57*M57)</x:f>
      </x:c>
      <x:c r="O57" s="40"/>
      <x:c r="P57" s="40"/>
      <x:c r="Q57" s="40"/>
      <x:c r="U57" s="42"/>
    </x:row>
    <x:row r="58">
      <x:c r="B58" s="40"/>
      <x:c r="M58" s="42"/>
      <x:c r="N58" s="42" t="str">
        <x:f>IF(OR(L58="",M58=""),"",L58*M58)</x:f>
      </x:c>
      <x:c r="O58" s="40"/>
      <x:c r="P58" s="40"/>
      <x:c r="Q58" s="40"/>
      <x:c r="U58" s="42"/>
    </x:row>
    <x:row r="59">
      <x:c r="B59" s="40"/>
      <x:c r="M59" s="42"/>
      <x:c r="N59" s="42" t="str">
        <x:f>IF(OR(L59="",M59=""),"",L59*M59)</x:f>
      </x:c>
      <x:c r="O59" s="40"/>
      <x:c r="P59" s="40"/>
      <x:c r="Q59" s="40"/>
      <x:c r="U59" s="42"/>
    </x:row>
    <x:row r="60">
      <x:c r="B60" s="40"/>
      <x:c r="M60" s="42"/>
      <x:c r="N60" s="42" t="str">
        <x:f>IF(OR(L60="",M60=""),"",L60*M60)</x:f>
      </x:c>
      <x:c r="O60" s="40"/>
      <x:c r="P60" s="40"/>
      <x:c r="Q60" s="40"/>
      <x:c r="U60" s="42"/>
    </x:row>
    <x:row r="61">
      <x:c r="B61" s="40"/>
      <x:c r="M61" s="42"/>
      <x:c r="N61" s="42" t="str">
        <x:f>IF(OR(L61="",M61=""),"",L61*M61)</x:f>
      </x:c>
      <x:c r="O61" s="40"/>
      <x:c r="P61" s="40"/>
      <x:c r="Q61" s="40"/>
      <x:c r="U61" s="42"/>
    </x:row>
    <x:row r="62">
      <x:c r="B62" s="40"/>
      <x:c r="M62" s="42"/>
      <x:c r="N62" s="42" t="str">
        <x:f>IF(OR(L62="",M62=""),"",L62*M62)</x:f>
      </x:c>
      <x:c r="O62" s="40"/>
      <x:c r="P62" s="40"/>
      <x:c r="Q62" s="40"/>
      <x:c r="U62" s="42"/>
    </x:row>
    <x:row r="63">
      <x:c r="B63" s="40"/>
      <x:c r="M63" s="42"/>
      <x:c r="N63" s="42" t="str">
        <x:f>IF(OR(L63="",M63=""),"",L63*M63)</x:f>
      </x:c>
      <x:c r="O63" s="40"/>
      <x:c r="P63" s="40"/>
      <x:c r="Q63" s="40"/>
      <x:c r="U63" s="42"/>
    </x:row>
    <x:row r="64">
      <x:c r="B64" s="40"/>
      <x:c r="M64" s="42"/>
      <x:c r="N64" s="42" t="str">
        <x:f>IF(OR(L64="",M64=""),"",L64*M64)</x:f>
      </x:c>
      <x:c r="O64" s="40"/>
      <x:c r="P64" s="40"/>
      <x:c r="Q64" s="40"/>
      <x:c r="U64" s="42"/>
    </x:row>
    <x:row r="65">
      <x:c r="B65" s="40"/>
      <x:c r="M65" s="42"/>
      <x:c r="N65" s="42" t="str">
        <x:f>IF(OR(L65="",M65=""),"",L65*M65)</x:f>
      </x:c>
      <x:c r="O65" s="40"/>
      <x:c r="P65" s="40"/>
      <x:c r="Q65" s="40"/>
      <x:c r="U65" s="42"/>
    </x:row>
    <x:row r="66">
      <x:c r="B66" s="40"/>
      <x:c r="M66" s="42"/>
      <x:c r="N66" s="42" t="str">
        <x:f>IF(OR(L66="",M66=""),"",L66*M66)</x:f>
      </x:c>
      <x:c r="O66" s="40"/>
      <x:c r="P66" s="40"/>
      <x:c r="Q66" s="40"/>
      <x:c r="U66" s="42"/>
    </x:row>
    <x:row r="67">
      <x:c r="B67" s="40"/>
      <x:c r="M67" s="42"/>
      <x:c r="N67" s="42" t="str">
        <x:f>IF(OR(L67="",M67=""),"",L67*M67)</x:f>
      </x:c>
      <x:c r="O67" s="40"/>
      <x:c r="P67" s="40"/>
      <x:c r="Q67" s="40"/>
      <x:c r="U67" s="42"/>
    </x:row>
    <x:row r="68">
      <x:c r="B68" s="40"/>
      <x:c r="M68" s="42"/>
      <x:c r="N68" s="42" t="str">
        <x:f>IF(OR(L68="",M68=""),"",L68*M68)</x:f>
      </x:c>
      <x:c r="O68" s="40"/>
      <x:c r="P68" s="40"/>
      <x:c r="Q68" s="40"/>
      <x:c r="U68" s="42"/>
    </x:row>
    <x:row r="69">
      <x:c r="B69" s="40"/>
      <x:c r="M69" s="42"/>
      <x:c r="N69" s="42" t="str">
        <x:f>IF(OR(L69="",M69=""),"",L69*M69)</x:f>
      </x:c>
      <x:c r="O69" s="40"/>
      <x:c r="P69" s="40"/>
      <x:c r="Q69" s="40"/>
      <x:c r="U69" s="42"/>
    </x:row>
    <x:row r="70">
      <x:c r="B70" s="40"/>
      <x:c r="M70" s="42"/>
      <x:c r="N70" s="42" t="str">
        <x:f>IF(OR(L70="",M70=""),"",L70*M70)</x:f>
      </x:c>
      <x:c r="O70" s="40"/>
      <x:c r="P70" s="40"/>
      <x:c r="Q70" s="40"/>
      <x:c r="U70" s="42"/>
    </x:row>
    <x:row r="71">
      <x:c r="B71" s="40"/>
      <x:c r="M71" s="42"/>
      <x:c r="N71" s="42" t="str">
        <x:f>IF(OR(L71="",M71=""),"",L71*M71)</x:f>
      </x:c>
      <x:c r="O71" s="40"/>
      <x:c r="P71" s="40"/>
      <x:c r="Q71" s="40"/>
      <x:c r="U71" s="42"/>
    </x:row>
    <x:row r="72">
      <x:c r="B72" s="40"/>
      <x:c r="M72" s="42"/>
      <x:c r="N72" s="42" t="str">
        <x:f>IF(OR(L72="",M72=""),"",L72*M72)</x:f>
      </x:c>
      <x:c r="O72" s="40"/>
      <x:c r="P72" s="40"/>
      <x:c r="Q72" s="40"/>
      <x:c r="U72" s="42"/>
    </x:row>
    <x:row r="73">
      <x:c r="B73" s="40"/>
      <x:c r="M73" s="42"/>
      <x:c r="N73" s="42" t="str">
        <x:f>IF(OR(L73="",M73=""),"",L73*M73)</x:f>
      </x:c>
      <x:c r="O73" s="40"/>
      <x:c r="P73" s="40"/>
      <x:c r="Q73" s="40"/>
      <x:c r="U73" s="42"/>
    </x:row>
    <x:row r="74">
      <x:c r="B74" s="40"/>
      <x:c r="M74" s="42"/>
      <x:c r="N74" s="42" t="str">
        <x:f>IF(OR(L74="",M74=""),"",L74*M74)</x:f>
      </x:c>
      <x:c r="O74" s="40"/>
      <x:c r="P74" s="40"/>
      <x:c r="Q74" s="40"/>
      <x:c r="U74" s="42"/>
    </x:row>
    <x:row r="75">
      <x:c r="B75" s="40"/>
      <x:c r="M75" s="42"/>
      <x:c r="N75" s="42" t="str">
        <x:f>IF(OR(L75="",M75=""),"",L75*M75)</x:f>
      </x:c>
      <x:c r="O75" s="40"/>
      <x:c r="P75" s="40"/>
      <x:c r="Q75" s="40"/>
      <x:c r="U75" s="42"/>
    </x:row>
    <x:row r="76">
      <x:c r="B76" s="40"/>
      <x:c r="M76" s="42"/>
      <x:c r="N76" s="42" t="str">
        <x:f>IF(OR(L76="",M76=""),"",L76*M76)</x:f>
      </x:c>
      <x:c r="O76" s="40"/>
      <x:c r="P76" s="40"/>
      <x:c r="Q76" s="40"/>
      <x:c r="U76" s="42"/>
    </x:row>
    <x:row r="77">
      <x:c r="B77" s="40"/>
      <x:c r="M77" s="42"/>
      <x:c r="N77" s="42" t="str">
        <x:f>IF(OR(L77="",M77=""),"",L77*M77)</x:f>
      </x:c>
      <x:c r="O77" s="40"/>
      <x:c r="P77" s="40"/>
      <x:c r="Q77" s="40"/>
      <x:c r="U77" s="42"/>
    </x:row>
    <x:row r="78">
      <x:c r="B78" s="40"/>
      <x:c r="M78" s="42"/>
      <x:c r="N78" s="42" t="str">
        <x:f>IF(OR(L78="",M78=""),"",L78*M78)</x:f>
      </x:c>
      <x:c r="O78" s="40"/>
      <x:c r="P78" s="40"/>
      <x:c r="Q78" s="40"/>
      <x:c r="U78" s="42"/>
    </x:row>
    <x:row r="79">
      <x:c r="B79" s="40"/>
      <x:c r="M79" s="42"/>
      <x:c r="N79" s="42" t="str">
        <x:f>IF(OR(L79="",M79=""),"",L79*M79)</x:f>
      </x:c>
      <x:c r="O79" s="40"/>
      <x:c r="P79" s="40"/>
      <x:c r="Q79" s="40"/>
      <x:c r="U79" s="42"/>
    </x:row>
    <x:row r="80">
      <x:c r="B80" s="40"/>
      <x:c r="M80" s="42"/>
      <x:c r="N80" s="42" t="str">
        <x:f>IF(OR(L80="",M80=""),"",L80*M80)</x:f>
      </x:c>
      <x:c r="O80" s="40"/>
      <x:c r="P80" s="40"/>
      <x:c r="Q80" s="40"/>
      <x:c r="U80" s="42"/>
    </x:row>
    <x:row r="81">
      <x:c r="B81" s="40"/>
      <x:c r="M81" s="42"/>
      <x:c r="N81" s="42" t="str">
        <x:f>IF(OR(L81="",M81=""),"",L81*M81)</x:f>
      </x:c>
      <x:c r="O81" s="40"/>
      <x:c r="P81" s="40"/>
      <x:c r="Q81" s="40"/>
      <x:c r="U81" s="42"/>
    </x:row>
    <x:row r="82">
      <x:c r="B82" s="40"/>
      <x:c r="M82" s="42"/>
      <x:c r="N82" s="42" t="str">
        <x:f>IF(OR(L82="",M82=""),"",L82*M82)</x:f>
      </x:c>
      <x:c r="O82" s="40"/>
      <x:c r="P82" s="40"/>
      <x:c r="Q82" s="40"/>
      <x:c r="U82" s="42"/>
    </x:row>
    <x:row r="83">
      <x:c r="B83" s="40"/>
      <x:c r="M83" s="42"/>
      <x:c r="N83" s="42" t="str">
        <x:f>IF(OR(L83="",M83=""),"",L83*M83)</x:f>
      </x:c>
      <x:c r="O83" s="40"/>
      <x:c r="P83" s="40"/>
      <x:c r="Q83" s="40"/>
      <x:c r="U83" s="42"/>
    </x:row>
    <x:row r="84">
      <x:c r="B84" s="40"/>
      <x:c r="M84" s="42"/>
      <x:c r="N84" s="42" t="str">
        <x:f>IF(OR(L84="",M84=""),"",L84*M84)</x:f>
      </x:c>
      <x:c r="O84" s="40"/>
      <x:c r="P84" s="40"/>
      <x:c r="Q84" s="40"/>
      <x:c r="U84" s="42"/>
    </x:row>
    <x:row r="85">
      <x:c r="B85" s="40"/>
      <x:c r="M85" s="42"/>
      <x:c r="N85" s="42" t="str">
        <x:f>IF(OR(L85="",M85=""),"",L85*M85)</x:f>
      </x:c>
      <x:c r="O85" s="40"/>
      <x:c r="P85" s="40"/>
      <x:c r="Q85" s="40"/>
      <x:c r="U85" s="42"/>
    </x:row>
    <x:row r="86">
      <x:c r="B86" s="40"/>
      <x:c r="M86" s="42"/>
      <x:c r="N86" s="42" t="str">
        <x:f>IF(OR(L86="",M86=""),"",L86*M86)</x:f>
      </x:c>
      <x:c r="O86" s="40"/>
      <x:c r="P86" s="40"/>
      <x:c r="Q86" s="40"/>
      <x:c r="U86" s="42"/>
    </x:row>
    <x:row r="87">
      <x:c r="B87" s="40"/>
      <x:c r="M87" s="42"/>
      <x:c r="N87" s="42" t="str">
        <x:f>IF(OR(L87="",M87=""),"",L87*M87)</x:f>
      </x:c>
      <x:c r="O87" s="40"/>
      <x:c r="P87" s="40"/>
      <x:c r="Q87" s="40"/>
      <x:c r="U87" s="42"/>
    </x:row>
    <x:row r="88">
      <x:c r="B88" s="40"/>
      <x:c r="M88" s="42"/>
      <x:c r="N88" s="42" t="str">
        <x:f>IF(OR(L88="",M88=""),"",L88*M88)</x:f>
      </x:c>
      <x:c r="O88" s="40"/>
      <x:c r="P88" s="40"/>
      <x:c r="Q88" s="40"/>
      <x:c r="U88" s="42"/>
    </x:row>
    <x:row r="89">
      <x:c r="B89" s="40"/>
      <x:c r="M89" s="42"/>
      <x:c r="N89" s="42" t="str">
        <x:f>IF(OR(L89="",M89=""),"",L89*M89)</x:f>
      </x:c>
      <x:c r="O89" s="40"/>
      <x:c r="P89" s="40"/>
      <x:c r="Q89" s="40"/>
      <x:c r="U89" s="42"/>
    </x:row>
    <x:row r="90">
      <x:c r="B90" s="40"/>
      <x:c r="M90" s="42"/>
      <x:c r="N90" s="42" t="str">
        <x:f>IF(OR(L90="",M90=""),"",L90*M90)</x:f>
      </x:c>
      <x:c r="O90" s="40"/>
      <x:c r="P90" s="40"/>
      <x:c r="Q90" s="40"/>
      <x:c r="U90" s="42"/>
    </x:row>
    <x:row r="91">
      <x:c r="B91" s="40"/>
      <x:c r="M91" s="42"/>
      <x:c r="N91" s="42" t="str">
        <x:f>IF(OR(L91="",M91=""),"",L91*M91)</x:f>
      </x:c>
      <x:c r="O91" s="40"/>
      <x:c r="P91" s="40"/>
      <x:c r="Q91" s="40"/>
      <x:c r="U91" s="42"/>
    </x:row>
    <x:row r="92">
      <x:c r="B92" s="40"/>
      <x:c r="M92" s="42"/>
      <x:c r="N92" s="42" t="str">
        <x:f>IF(OR(L92="",M92=""),"",L92*M92)</x:f>
      </x:c>
      <x:c r="O92" s="40"/>
      <x:c r="P92" s="40"/>
      <x:c r="Q92" s="40"/>
      <x:c r="U92" s="42"/>
    </x:row>
    <x:row r="93">
      <x:c r="B93" s="40"/>
      <x:c r="M93" s="42"/>
      <x:c r="N93" s="42" t="str">
        <x:f>IF(OR(L93="",M93=""),"",L93*M93)</x:f>
      </x:c>
      <x:c r="O93" s="40"/>
      <x:c r="P93" s="40"/>
      <x:c r="Q93" s="40"/>
      <x:c r="U93" s="42"/>
    </x:row>
    <x:row r="94">
      <x:c r="B94" s="40"/>
      <x:c r="M94" s="42"/>
      <x:c r="N94" s="42" t="str">
        <x:f>IF(OR(L94="",M94=""),"",L94*M94)</x:f>
      </x:c>
      <x:c r="O94" s="40"/>
      <x:c r="P94" s="40"/>
      <x:c r="Q94" s="40"/>
      <x:c r="U94" s="42"/>
    </x:row>
    <x:row r="95">
      <x:c r="B95" s="40"/>
      <x:c r="M95" s="42"/>
      <x:c r="N95" s="42" t="str">
        <x:f>IF(OR(L95="",M95=""),"",L95*M95)</x:f>
      </x:c>
      <x:c r="O95" s="40"/>
      <x:c r="P95" s="40"/>
      <x:c r="Q95" s="40"/>
      <x:c r="U95" s="42"/>
    </x:row>
    <x:row r="96">
      <x:c r="B96" s="40"/>
      <x:c r="M96" s="42"/>
      <x:c r="N96" s="42" t="str">
        <x:f>IF(OR(L96="",M96=""),"",L96*M96)</x:f>
      </x:c>
      <x:c r="O96" s="40"/>
      <x:c r="P96" s="40"/>
      <x:c r="Q96" s="40"/>
      <x:c r="U96" s="42"/>
    </x:row>
    <x:row r="97">
      <x:c r="B97" s="40"/>
      <x:c r="M97" s="42"/>
      <x:c r="N97" s="42" t="str">
        <x:f>IF(OR(L97="",M97=""),"",L97*M97)</x:f>
      </x:c>
      <x:c r="O97" s="40"/>
      <x:c r="P97" s="40"/>
      <x:c r="Q97" s="40"/>
      <x:c r="U97" s="42"/>
    </x:row>
    <x:row r="98">
      <x:c r="B98" s="40"/>
      <x:c r="M98" s="42"/>
      <x:c r="N98" s="42" t="str">
        <x:f>IF(OR(L98="",M98=""),"",L98*M98)</x:f>
      </x:c>
      <x:c r="O98" s="40"/>
      <x:c r="P98" s="40"/>
      <x:c r="Q98" s="40"/>
      <x:c r="U98" s="42"/>
    </x:row>
    <x:row r="99">
      <x:c r="B99" s="40"/>
      <x:c r="M99" s="42"/>
      <x:c r="N99" s="42" t="str">
        <x:f>IF(OR(L99="",M99=""),"",L99*M99)</x:f>
      </x:c>
      <x:c r="O99" s="40"/>
      <x:c r="P99" s="40"/>
      <x:c r="Q99" s="40"/>
      <x:c r="U99" s="42"/>
    </x:row>
    <x:row r="100">
      <x:c r="B100" s="40"/>
      <x:c r="M100" s="42"/>
      <x:c r="N100" s="42" t="str">
        <x:f>IF(OR(L100="",M100=""),"",L100*M100)</x:f>
      </x:c>
      <x:c r="O100" s="40"/>
      <x:c r="P100" s="40"/>
      <x:c r="Q100" s="40"/>
      <x:c r="U100" s="42"/>
    </x:row>
    <x:row r="101">
      <x:c r="B101" s="40"/>
      <x:c r="M101" s="42"/>
      <x:c r="N101" s="42" t="str">
        <x:f>IF(OR(L101="",M101=""),"",L101*M101)</x:f>
      </x:c>
      <x:c r="O101" s="40"/>
      <x:c r="P101" s="40"/>
      <x:c r="Q101" s="40"/>
      <x:c r="U101" s="42"/>
    </x:row>
    <x:row r="102">
      <x:c r="B102" s="40"/>
      <x:c r="M102" s="42"/>
      <x:c r="N102" s="42" t="str">
        <x:f>IF(OR(L102="",M102=""),"",L102*M102)</x:f>
      </x:c>
      <x:c r="O102" s="40"/>
      <x:c r="P102" s="40"/>
      <x:c r="Q102" s="40"/>
      <x:c r="U102" s="42"/>
    </x:row>
    <x:row r="103">
      <x:c r="B103" s="40"/>
      <x:c r="M103" s="42"/>
      <x:c r="N103" s="42" t="str">
        <x:f>IF(OR(L103="",M103=""),"",L103*M103)</x:f>
      </x:c>
      <x:c r="O103" s="40"/>
      <x:c r="P103" s="40"/>
      <x:c r="Q103" s="40"/>
      <x:c r="U103" s="42"/>
    </x:row>
    <x:row r="104">
      <x:c r="B104" s="40"/>
      <x:c r="M104" s="42"/>
      <x:c r="N104" s="42" t="str">
        <x:f>IF(OR(L104="",M104=""),"",L104*M104)</x:f>
      </x:c>
      <x:c r="O104" s="40"/>
      <x:c r="P104" s="40"/>
      <x:c r="Q104" s="40"/>
      <x:c r="U104" s="42"/>
    </x:row>
    <x:row r="105">
      <x:c r="B105" s="40"/>
      <x:c r="M105" s="42"/>
      <x:c r="N105" s="42" t="str">
        <x:f>IF(OR(L105="",M105=""),"",L105*M105)</x:f>
      </x:c>
      <x:c r="O105" s="40"/>
      <x:c r="P105" s="40"/>
      <x:c r="Q105" s="40"/>
      <x:c r="U105" s="42"/>
    </x:row>
    <x:row r="106">
      <x:c r="B106" s="40"/>
      <x:c r="M106" s="42"/>
      <x:c r="N106" s="42" t="str">
        <x:f>IF(OR(L106="",M106=""),"",L106*M106)</x:f>
      </x:c>
      <x:c r="O106" s="40"/>
      <x:c r="P106" s="40"/>
      <x:c r="Q106" s="40"/>
      <x:c r="U106" s="42"/>
    </x:row>
    <x:row r="107">
      <x:c r="B107" s="40"/>
      <x:c r="M107" s="42"/>
      <x:c r="N107" s="42" t="str">
        <x:f>IF(OR(L107="",M107=""),"",L107*M107)</x:f>
      </x:c>
      <x:c r="O107" s="40"/>
      <x:c r="P107" s="40"/>
      <x:c r="Q107" s="40"/>
      <x:c r="U107" s="42"/>
    </x:row>
    <x:row r="108">
      <x:c r="B108" s="40"/>
      <x:c r="M108" s="42"/>
      <x:c r="N108" s="42" t="str">
        <x:f>IF(OR(L108="",M108=""),"",L108*M108)</x:f>
      </x:c>
      <x:c r="O108" s="40"/>
      <x:c r="P108" s="40"/>
      <x:c r="Q108" s="40"/>
      <x:c r="U108" s="42"/>
    </x:row>
    <x:row r="109">
      <x:c r="B109" s="40"/>
      <x:c r="M109" s="42"/>
      <x:c r="N109" s="42" t="str">
        <x:f>IF(OR(L109="",M109=""),"",L109*M109)</x:f>
      </x:c>
      <x:c r="O109" s="40"/>
      <x:c r="P109" s="40"/>
      <x:c r="Q109" s="40"/>
      <x:c r="U109" s="42"/>
    </x:row>
    <x:row r="110">
      <x:c r="B110" s="40"/>
      <x:c r="M110" s="42"/>
      <x:c r="N110" s="42" t="str">
        <x:f>IF(OR(L110="",M110=""),"",L110*M110)</x:f>
      </x:c>
      <x:c r="O110" s="40"/>
      <x:c r="P110" s="40"/>
      <x:c r="Q110" s="40"/>
      <x:c r="U110" s="42"/>
    </x:row>
    <x:row r="111">
      <x:c r="B111" s="40"/>
      <x:c r="M111" s="42"/>
      <x:c r="N111" s="42" t="str">
        <x:f>IF(OR(L111="",M111=""),"",L111*M111)</x:f>
      </x:c>
      <x:c r="O111" s="40"/>
      <x:c r="P111" s="40"/>
      <x:c r="Q111" s="40"/>
      <x:c r="U111" s="42"/>
    </x:row>
    <x:row r="112">
      <x:c r="B112" s="40"/>
      <x:c r="M112" s="42"/>
      <x:c r="N112" s="42" t="str">
        <x:f>IF(OR(L112="",M112=""),"",L112*M112)</x:f>
      </x:c>
      <x:c r="O112" s="40"/>
      <x:c r="P112" s="40"/>
      <x:c r="Q112" s="40"/>
      <x:c r="U112" s="42"/>
    </x:row>
    <x:row r="113">
      <x:c r="B113" s="40"/>
      <x:c r="M113" s="42"/>
      <x:c r="N113" s="42" t="str">
        <x:f>IF(OR(L113="",M113=""),"",L113*M113)</x:f>
      </x:c>
      <x:c r="O113" s="40"/>
      <x:c r="P113" s="40"/>
      <x:c r="Q113" s="40"/>
      <x:c r="U113" s="42"/>
    </x:row>
    <x:row r="114">
      <x:c r="B114" s="40"/>
      <x:c r="M114" s="42"/>
      <x:c r="N114" s="42" t="str">
        <x:f>IF(OR(L114="",M114=""),"",L114*M114)</x:f>
      </x:c>
      <x:c r="O114" s="40"/>
      <x:c r="P114" s="40"/>
      <x:c r="Q114" s="40"/>
      <x:c r="U114" s="42"/>
    </x:row>
    <x:row r="115">
      <x:c r="B115" s="40"/>
      <x:c r="M115" s="42"/>
      <x:c r="N115" s="42" t="str">
        <x:f>IF(OR(L115="",M115=""),"",L115*M115)</x:f>
      </x:c>
      <x:c r="O115" s="40"/>
      <x:c r="P115" s="40"/>
      <x:c r="Q115" s="40"/>
      <x:c r="U115" s="42"/>
    </x:row>
    <x:row r="116">
      <x:c r="B116" s="40"/>
      <x:c r="M116" s="42"/>
      <x:c r="N116" s="42" t="str">
        <x:f>IF(OR(L116="",M116=""),"",L116*M116)</x:f>
      </x:c>
      <x:c r="O116" s="40"/>
      <x:c r="P116" s="40"/>
      <x:c r="Q116" s="40"/>
      <x:c r="U116" s="42"/>
    </x:row>
    <x:row r="117">
      <x:c r="B117" s="40"/>
      <x:c r="M117" s="42"/>
      <x:c r="N117" s="42" t="str">
        <x:f>IF(OR(L117="",M117=""),"",L117*M117)</x:f>
      </x:c>
      <x:c r="O117" s="40"/>
      <x:c r="P117" s="40"/>
      <x:c r="Q117" s="40"/>
      <x:c r="U117" s="42"/>
    </x:row>
    <x:row r="118">
      <x:c r="B118" s="40"/>
      <x:c r="M118" s="42"/>
      <x:c r="N118" s="42" t="str">
        <x:f>IF(OR(L118="",M118=""),"",L118*M118)</x:f>
      </x:c>
      <x:c r="O118" s="40"/>
      <x:c r="P118" s="40"/>
      <x:c r="Q118" s="40"/>
      <x:c r="U118" s="42"/>
    </x:row>
    <x:row r="119">
      <x:c r="B119" s="40"/>
      <x:c r="M119" s="42"/>
      <x:c r="N119" s="42" t="str">
        <x:f>IF(OR(L119="",M119=""),"",L119*M119)</x:f>
      </x:c>
      <x:c r="O119" s="40"/>
      <x:c r="P119" s="40"/>
      <x:c r="Q119" s="40"/>
      <x:c r="U119" s="42"/>
    </x:row>
    <x:row r="120">
      <x:c r="B120" s="40"/>
      <x:c r="M120" s="42"/>
      <x:c r="N120" s="42" t="str">
        <x:f>IF(OR(L120="",M120=""),"",L120*M120)</x:f>
      </x:c>
      <x:c r="O120" s="40"/>
      <x:c r="P120" s="40"/>
      <x:c r="Q120" s="40"/>
      <x:c r="U120" s="42"/>
    </x:row>
    <x:row r="121">
      <x:c r="B121" s="40"/>
      <x:c r="M121" s="42"/>
      <x:c r="N121" s="42" t="str">
        <x:f>IF(OR(L121="",M121=""),"",L121*M121)</x:f>
      </x:c>
      <x:c r="O121" s="40"/>
      <x:c r="P121" s="40"/>
      <x:c r="Q121" s="40"/>
      <x:c r="U121" s="42"/>
    </x:row>
    <x:row r="122">
      <x:c r="B122" s="40"/>
      <x:c r="M122" s="42"/>
      <x:c r="N122" s="42" t="str">
        <x:f>IF(OR(L122="",M122=""),"",L122*M122)</x:f>
      </x:c>
      <x:c r="O122" s="40"/>
      <x:c r="P122" s="40"/>
      <x:c r="Q122" s="40"/>
      <x:c r="U122" s="42"/>
    </x:row>
    <x:row r="123">
      <x:c r="B123" s="40"/>
      <x:c r="M123" s="42"/>
      <x:c r="N123" s="42" t="str">
        <x:f>IF(OR(L123="",M123=""),"",L123*M123)</x:f>
      </x:c>
      <x:c r="O123" s="40"/>
      <x:c r="P123" s="40"/>
      <x:c r="Q123" s="40"/>
      <x:c r="U123" s="42"/>
    </x:row>
    <x:row r="124">
      <x:c r="B124" s="40"/>
      <x:c r="M124" s="42"/>
      <x:c r="N124" s="42" t="str">
        <x:f>IF(OR(L124="",M124=""),"",L124*M124)</x:f>
      </x:c>
      <x:c r="O124" s="40"/>
      <x:c r="P124" s="40"/>
      <x:c r="Q124" s="40"/>
      <x:c r="U124" s="42"/>
    </x:row>
    <x:row r="125">
      <x:c r="B125" s="40"/>
      <x:c r="M125" s="42"/>
      <x:c r="N125" s="42" t="str">
        <x:f>IF(OR(L125="",M125=""),"",L125*M125)</x:f>
      </x:c>
      <x:c r="O125" s="40"/>
      <x:c r="P125" s="40"/>
      <x:c r="Q125" s="40"/>
      <x:c r="U125" s="42"/>
    </x:row>
    <x:row r="126">
      <x:c r="B126" s="40"/>
      <x:c r="M126" s="42"/>
      <x:c r="N126" s="42" t="str">
        <x:f>IF(OR(L126="",M126=""),"",L126*M126)</x:f>
      </x:c>
      <x:c r="O126" s="40"/>
      <x:c r="P126" s="40"/>
      <x:c r="Q126" s="40"/>
      <x:c r="U126" s="42"/>
    </x:row>
    <x:row r="127">
      <x:c r="B127" s="40"/>
      <x:c r="M127" s="42"/>
      <x:c r="N127" s="42" t="str">
        <x:f>IF(OR(L127="",M127=""),"",L127*M127)</x:f>
      </x:c>
      <x:c r="O127" s="40"/>
      <x:c r="P127" s="40"/>
      <x:c r="Q127" s="40"/>
      <x:c r="U127" s="42"/>
    </x:row>
    <x:row r="128">
      <x:c r="B128" s="40"/>
      <x:c r="M128" s="42"/>
      <x:c r="N128" s="42" t="str">
        <x:f>IF(OR(L128="",M128=""),"",L128*M128)</x:f>
      </x:c>
      <x:c r="O128" s="40"/>
      <x:c r="P128" s="40"/>
      <x:c r="Q128" s="40"/>
      <x:c r="U128" s="42"/>
    </x:row>
    <x:row r="129">
      <x:c r="B129" s="40"/>
      <x:c r="M129" s="42"/>
      <x:c r="N129" s="42" t="str">
        <x:f>IF(OR(L129="",M129=""),"",L129*M129)</x:f>
      </x:c>
      <x:c r="O129" s="40"/>
      <x:c r="P129" s="40"/>
      <x:c r="Q129" s="40"/>
      <x:c r="U129" s="42"/>
    </x:row>
    <x:row r="130">
      <x:c r="B130" s="40"/>
      <x:c r="M130" s="42"/>
      <x:c r="N130" s="42" t="str">
        <x:f>IF(OR(L130="",M130=""),"",L130*M130)</x:f>
      </x:c>
      <x:c r="O130" s="40"/>
      <x:c r="P130" s="40"/>
      <x:c r="Q130" s="40"/>
      <x:c r="U130" s="42"/>
    </x:row>
    <x:row r="131">
      <x:c r="B131" s="40"/>
      <x:c r="M131" s="42"/>
      <x:c r="N131" s="42" t="str">
        <x:f>IF(OR(L131="",M131=""),"",L131*M131)</x:f>
      </x:c>
      <x:c r="O131" s="40"/>
      <x:c r="P131" s="40"/>
      <x:c r="Q131" s="40"/>
      <x:c r="U131" s="42"/>
    </x:row>
    <x:row r="132">
      <x:c r="B132" s="40"/>
      <x:c r="M132" s="42"/>
      <x:c r="N132" s="42" t="str">
        <x:f>IF(OR(L132="",M132=""),"",L132*M132)</x:f>
      </x:c>
      <x:c r="O132" s="40"/>
      <x:c r="P132" s="40"/>
      <x:c r="Q132" s="40"/>
      <x:c r="U132" s="42"/>
    </x:row>
    <x:row r="133">
      <x:c r="B133" s="40"/>
      <x:c r="M133" s="42"/>
      <x:c r="N133" s="42" t="str">
        <x:f>IF(OR(L133="",M133=""),"",L133*M133)</x:f>
      </x:c>
      <x:c r="O133" s="40"/>
      <x:c r="P133" s="40"/>
      <x:c r="Q133" s="40"/>
      <x:c r="U133" s="42"/>
    </x:row>
    <x:row r="134">
      <x:c r="B134" s="40"/>
      <x:c r="M134" s="42"/>
      <x:c r="N134" s="42" t="str">
        <x:f>IF(OR(L134="",M134=""),"",L134*M134)</x:f>
      </x:c>
      <x:c r="O134" s="40"/>
      <x:c r="P134" s="40"/>
      <x:c r="Q134" s="40"/>
      <x:c r="U134" s="42"/>
    </x:row>
    <x:row r="135">
      <x:c r="B135" s="40"/>
      <x:c r="M135" s="42"/>
      <x:c r="N135" s="42" t="str">
        <x:f>IF(OR(L135="",M135=""),"",L135*M135)</x:f>
      </x:c>
      <x:c r="O135" s="40"/>
      <x:c r="P135" s="40"/>
      <x:c r="Q135" s="40"/>
      <x:c r="U135" s="42"/>
    </x:row>
    <x:row r="136">
      <x:c r="B136" s="40"/>
      <x:c r="M136" s="42"/>
      <x:c r="N136" s="42" t="str">
        <x:f>IF(OR(L136="",M136=""),"",L136*M136)</x:f>
      </x:c>
      <x:c r="O136" s="40"/>
      <x:c r="P136" s="40"/>
      <x:c r="Q136" s="40"/>
      <x:c r="U136" s="42"/>
    </x:row>
    <x:row r="137">
      <x:c r="B137" s="40"/>
      <x:c r="M137" s="42"/>
      <x:c r="N137" s="42" t="str">
        <x:f>IF(OR(L137="",M137=""),"",L137*M137)</x:f>
      </x:c>
      <x:c r="O137" s="40"/>
      <x:c r="P137" s="40"/>
      <x:c r="Q137" s="40"/>
      <x:c r="U137" s="42"/>
    </x:row>
    <x:row r="138">
      <x:c r="B138" s="40"/>
      <x:c r="M138" s="42"/>
      <x:c r="N138" s="42" t="str">
        <x:f>IF(OR(L138="",M138=""),"",L138*M138)</x:f>
      </x:c>
      <x:c r="O138" s="40"/>
      <x:c r="P138" s="40"/>
      <x:c r="Q138" s="40"/>
      <x:c r="U138" s="42"/>
    </x:row>
    <x:row r="139">
      <x:c r="B139" s="40"/>
      <x:c r="M139" s="42"/>
      <x:c r="N139" s="42" t="str">
        <x:f>IF(OR(L139="",M139=""),"",L139*M139)</x:f>
      </x:c>
      <x:c r="O139" s="40"/>
      <x:c r="P139" s="40"/>
      <x:c r="Q139" s="40"/>
      <x:c r="U139" s="42"/>
    </x:row>
    <x:row r="140">
      <x:c r="B140" s="40"/>
      <x:c r="M140" s="42"/>
      <x:c r="N140" s="42" t="str">
        <x:f>IF(OR(L140="",M140=""),"",L140*M140)</x:f>
      </x:c>
      <x:c r="O140" s="40"/>
      <x:c r="P140" s="40"/>
      <x:c r="Q140" s="40"/>
      <x:c r="U140" s="42"/>
    </x:row>
    <x:row r="141">
      <x:c r="B141" s="40"/>
      <x:c r="M141" s="42"/>
      <x:c r="N141" s="42" t="str">
        <x:f>IF(OR(L141="",M141=""),"",L141*M141)</x:f>
      </x:c>
      <x:c r="O141" s="40"/>
      <x:c r="P141" s="40"/>
      <x:c r="Q141" s="40"/>
      <x:c r="U141" s="42"/>
    </x:row>
    <x:row r="142">
      <x:c r="B142" s="40"/>
      <x:c r="M142" s="42"/>
      <x:c r="N142" s="42" t="str">
        <x:f>IF(OR(L142="",M142=""),"",L142*M142)</x:f>
      </x:c>
      <x:c r="O142" s="40"/>
      <x:c r="P142" s="40"/>
      <x:c r="Q142" s="40"/>
      <x:c r="U142" s="42"/>
    </x:row>
    <x:row r="143">
      <x:c r="B143" s="40"/>
      <x:c r="M143" s="42"/>
      <x:c r="N143" s="42" t="str">
        <x:f>IF(OR(L143="",M143=""),"",L143*M143)</x:f>
      </x:c>
      <x:c r="O143" s="40"/>
      <x:c r="P143" s="40"/>
      <x:c r="Q143" s="40"/>
      <x:c r="U143" s="42"/>
    </x:row>
    <x:row r="144">
      <x:c r="B144" s="40"/>
      <x:c r="M144" s="42"/>
      <x:c r="N144" s="42" t="str">
        <x:f>IF(OR(L144="",M144=""),"",L144*M144)</x:f>
      </x:c>
      <x:c r="O144" s="40"/>
      <x:c r="P144" s="40"/>
      <x:c r="Q144" s="40"/>
      <x:c r="U144" s="42"/>
    </x:row>
    <x:row r="145">
      <x:c r="B145" s="40"/>
      <x:c r="M145" s="42"/>
      <x:c r="N145" s="42" t="str">
        <x:f>IF(OR(L145="",M145=""),"",L145*M145)</x:f>
      </x:c>
      <x:c r="O145" s="40"/>
      <x:c r="P145" s="40"/>
      <x:c r="Q145" s="40"/>
      <x:c r="U145" s="42"/>
    </x:row>
    <x:row r="146">
      <x:c r="B146" s="40"/>
      <x:c r="M146" s="42"/>
      <x:c r="N146" s="42" t="str">
        <x:f>IF(OR(L146="",M146=""),"",L146*M146)</x:f>
      </x:c>
      <x:c r="O146" s="40"/>
      <x:c r="P146" s="40"/>
      <x:c r="Q146" s="40"/>
      <x:c r="U146" s="42"/>
    </x:row>
    <x:row r="147">
      <x:c r="B147" s="40"/>
      <x:c r="M147" s="42"/>
      <x:c r="N147" s="42" t="str">
        <x:f>IF(OR(L147="",M147=""),"",L147*M147)</x:f>
      </x:c>
      <x:c r="O147" s="40"/>
      <x:c r="P147" s="40"/>
      <x:c r="Q147" s="40"/>
      <x:c r="U147" s="42"/>
    </x:row>
    <x:row r="148">
      <x:c r="B148" s="40"/>
      <x:c r="M148" s="42"/>
      <x:c r="N148" s="42" t="str">
        <x:f>IF(OR(L148="",M148=""),"",L148*M148)</x:f>
      </x:c>
      <x:c r="O148" s="40"/>
      <x:c r="P148" s="40"/>
      <x:c r="Q148" s="40"/>
      <x:c r="U148" s="42"/>
    </x:row>
    <x:row r="149">
      <x:c r="B149" s="40"/>
      <x:c r="M149" s="42"/>
      <x:c r="N149" s="42" t="str">
        <x:f>IF(OR(L149="",M149=""),"",L149*M149)</x:f>
      </x:c>
      <x:c r="O149" s="40"/>
      <x:c r="P149" s="40"/>
      <x:c r="Q149" s="40"/>
      <x:c r="U149" s="42"/>
    </x:row>
    <x:row r="150">
      <x:c r="B150" s="40"/>
      <x:c r="M150" s="42"/>
      <x:c r="N150" s="42" t="str">
        <x:f>IF(OR(L150="",M150=""),"",L150*M150)</x:f>
      </x:c>
      <x:c r="O150" s="40"/>
      <x:c r="P150" s="40"/>
      <x:c r="Q150" s="40"/>
      <x:c r="U150" s="42"/>
    </x:row>
    <x:row r="151">
      <x:c r="B151" s="40"/>
      <x:c r="M151" s="42"/>
      <x:c r="N151" s="42" t="str">
        <x:f>IF(OR(L151="",M151=""),"",L151*M151)</x:f>
      </x:c>
      <x:c r="O151" s="40"/>
      <x:c r="P151" s="40"/>
      <x:c r="Q151" s="40"/>
      <x:c r="U151" s="42"/>
    </x:row>
    <x:row r="152">
      <x:c r="B152" s="40"/>
      <x:c r="M152" s="42"/>
      <x:c r="N152" s="42" t="str">
        <x:f>IF(OR(L152="",M152=""),"",L152*M152)</x:f>
      </x:c>
      <x:c r="O152" s="40"/>
      <x:c r="P152" s="40"/>
      <x:c r="Q152" s="40"/>
      <x:c r="U152" s="42"/>
    </x:row>
    <x:row r="153">
      <x:c r="B153" s="40"/>
      <x:c r="M153" s="42"/>
      <x:c r="N153" s="42" t="str">
        <x:f>IF(OR(L153="",M153=""),"",L153*M153)</x:f>
      </x:c>
      <x:c r="O153" s="40"/>
      <x:c r="P153" s="40"/>
      <x:c r="Q153" s="40"/>
      <x:c r="U153" s="42"/>
    </x:row>
    <x:row r="154">
      <x:c r="B154" s="40"/>
      <x:c r="M154" s="42"/>
      <x:c r="N154" s="42" t="str">
        <x:f>IF(OR(L154="",M154=""),"",L154*M154)</x:f>
      </x:c>
      <x:c r="O154" s="40"/>
      <x:c r="P154" s="40"/>
      <x:c r="Q154" s="40"/>
      <x:c r="U154" s="42"/>
    </x:row>
    <x:row r="155">
      <x:c r="B155" s="40"/>
      <x:c r="M155" s="42"/>
      <x:c r="N155" s="42" t="str">
        <x:f>IF(OR(L155="",M155=""),"",L155*M155)</x:f>
      </x:c>
      <x:c r="O155" s="40"/>
      <x:c r="P155" s="40"/>
      <x:c r="Q155" s="40"/>
      <x:c r="U155" s="42"/>
    </x:row>
    <x:row r="156">
      <x:c r="B156" s="40"/>
      <x:c r="M156" s="42"/>
      <x:c r="N156" s="42" t="str">
        <x:f>IF(OR(L156="",M156=""),"",L156*M156)</x:f>
      </x:c>
      <x:c r="O156" s="40"/>
      <x:c r="P156" s="40"/>
      <x:c r="Q156" s="40"/>
      <x:c r="U156" s="42"/>
    </x:row>
    <x:row r="157">
      <x:c r="B157" s="40"/>
      <x:c r="M157" s="42"/>
      <x:c r="N157" s="42" t="str">
        <x:f>IF(OR(L157="",M157=""),"",L157*M157)</x:f>
      </x:c>
      <x:c r="O157" s="40"/>
      <x:c r="P157" s="40"/>
      <x:c r="Q157" s="40"/>
      <x:c r="U157" s="42"/>
    </x:row>
    <x:row r="158">
      <x:c r="B158" s="40"/>
      <x:c r="M158" s="42"/>
      <x:c r="N158" s="42" t="str">
        <x:f>IF(OR(L158="",M158=""),"",L158*M158)</x:f>
      </x:c>
      <x:c r="O158" s="40"/>
      <x:c r="P158" s="40"/>
      <x:c r="Q158" s="40"/>
      <x:c r="U158" s="42"/>
    </x:row>
    <x:row r="159">
      <x:c r="B159" s="40"/>
      <x:c r="M159" s="42"/>
      <x:c r="N159" s="42" t="str">
        <x:f>IF(OR(L159="",M159=""),"",L159*M159)</x:f>
      </x:c>
      <x:c r="O159" s="40"/>
      <x:c r="P159" s="40"/>
      <x:c r="Q159" s="40"/>
      <x:c r="U159" s="42"/>
    </x:row>
    <x:row r="160">
      <x:c r="B160" s="40"/>
      <x:c r="M160" s="42"/>
      <x:c r="N160" s="42" t="str">
        <x:f>IF(OR(L160="",M160=""),"",L160*M160)</x:f>
      </x:c>
      <x:c r="O160" s="40"/>
      <x:c r="P160" s="40"/>
      <x:c r="Q160" s="40"/>
      <x:c r="U160" s="42"/>
    </x:row>
    <x:row r="161">
      <x:c r="B161" s="40"/>
      <x:c r="M161" s="42"/>
      <x:c r="N161" s="42" t="str">
        <x:f>IF(OR(L161="",M161=""),"",L161*M161)</x:f>
      </x:c>
      <x:c r="O161" s="40"/>
      <x:c r="P161" s="40"/>
      <x:c r="Q161" s="40"/>
      <x:c r="U161" s="42"/>
    </x:row>
    <x:row r="162">
      <x:c r="B162" s="40"/>
      <x:c r="M162" s="42"/>
      <x:c r="N162" s="42" t="str">
        <x:f>IF(OR(L162="",M162=""),"",L162*M162)</x:f>
      </x:c>
      <x:c r="O162" s="40"/>
      <x:c r="P162" s="40"/>
      <x:c r="Q162" s="40"/>
      <x:c r="U162" s="42"/>
    </x:row>
    <x:row r="163">
      <x:c r="B163" s="40"/>
      <x:c r="M163" s="42"/>
      <x:c r="N163" s="42" t="str">
        <x:f>IF(OR(L163="",M163=""),"",L163*M163)</x:f>
      </x:c>
      <x:c r="O163" s="40"/>
      <x:c r="P163" s="40"/>
      <x:c r="Q163" s="40"/>
      <x:c r="U163" s="42"/>
    </x:row>
    <x:row r="164">
      <x:c r="B164" s="40"/>
      <x:c r="M164" s="42"/>
      <x:c r="N164" s="42" t="str">
        <x:f>IF(OR(L164="",M164=""),"",L164*M164)</x:f>
      </x:c>
      <x:c r="O164" s="40"/>
      <x:c r="P164" s="40"/>
      <x:c r="Q164" s="40"/>
      <x:c r="U164" s="42"/>
    </x:row>
    <x:row r="165">
      <x:c r="B165" s="40"/>
      <x:c r="M165" s="42"/>
      <x:c r="N165" s="42" t="str">
        <x:f>IF(OR(L165="",M165=""),"",L165*M165)</x:f>
      </x:c>
      <x:c r="O165" s="40"/>
      <x:c r="P165" s="40"/>
      <x:c r="Q165" s="40"/>
      <x:c r="U165" s="42"/>
    </x:row>
    <x:row r="166">
      <x:c r="B166" s="40"/>
      <x:c r="M166" s="42"/>
      <x:c r="N166" s="42" t="str">
        <x:f>IF(OR(L166="",M166=""),"",L166*M166)</x:f>
      </x:c>
      <x:c r="O166" s="40"/>
      <x:c r="P166" s="40"/>
      <x:c r="Q166" s="40"/>
      <x:c r="U166" s="42"/>
    </x:row>
    <x:row r="167">
      <x:c r="B167" s="40"/>
      <x:c r="M167" s="42"/>
      <x:c r="N167" s="42" t="str">
        <x:f>IF(OR(L167="",M167=""),"",L167*M167)</x:f>
      </x:c>
      <x:c r="O167" s="40"/>
      <x:c r="P167" s="40"/>
      <x:c r="Q167" s="40"/>
      <x:c r="U167" s="42"/>
    </x:row>
    <x:row r="168">
      <x:c r="B168" s="40"/>
      <x:c r="M168" s="42"/>
      <x:c r="N168" s="42" t="str">
        <x:f>IF(OR(L168="",M168=""),"",L168*M168)</x:f>
      </x:c>
      <x:c r="O168" s="40"/>
      <x:c r="P168" s="40"/>
      <x:c r="Q168" s="40"/>
      <x:c r="U168" s="42"/>
    </x:row>
    <x:row r="169">
      <x:c r="B169" s="40"/>
      <x:c r="M169" s="42"/>
      <x:c r="N169" s="42" t="str">
        <x:f>IF(OR(L169="",M169=""),"",L169*M169)</x:f>
      </x:c>
      <x:c r="O169" s="40"/>
      <x:c r="P169" s="40"/>
      <x:c r="Q169" s="40"/>
      <x:c r="U169" s="42"/>
    </x:row>
    <x:row r="170">
      <x:c r="B170" s="40"/>
      <x:c r="M170" s="42"/>
      <x:c r="N170" s="42" t="str">
        <x:f>IF(OR(L170="",M170=""),"",L170*M170)</x:f>
      </x:c>
      <x:c r="O170" s="40"/>
      <x:c r="P170" s="40"/>
      <x:c r="Q170" s="40"/>
      <x:c r="U170" s="42"/>
    </x:row>
    <x:row r="171">
      <x:c r="B171" s="40"/>
      <x:c r="M171" s="42"/>
      <x:c r="N171" s="42" t="str">
        <x:f>IF(OR(L171="",M171=""),"",L171*M171)</x:f>
      </x:c>
      <x:c r="O171" s="40"/>
      <x:c r="P171" s="40"/>
      <x:c r="Q171" s="40"/>
      <x:c r="U171" s="42"/>
    </x:row>
    <x:row r="172">
      <x:c r="B172" s="40"/>
      <x:c r="M172" s="42"/>
      <x:c r="N172" s="42" t="str">
        <x:f>IF(OR(L172="",M172=""),"",L172*M172)</x:f>
      </x:c>
      <x:c r="O172" s="40"/>
      <x:c r="P172" s="40"/>
      <x:c r="Q172" s="40"/>
      <x:c r="U172" s="42"/>
    </x:row>
    <x:row r="173">
      <x:c r="B173" s="40"/>
      <x:c r="M173" s="42"/>
      <x:c r="N173" s="42" t="str">
        <x:f>IF(OR(L173="",M173=""),"",L173*M173)</x:f>
      </x:c>
      <x:c r="O173" s="40"/>
      <x:c r="P173" s="40"/>
      <x:c r="Q173" s="40"/>
      <x:c r="U173" s="42"/>
    </x:row>
    <x:row r="174">
      <x:c r="B174" s="40"/>
      <x:c r="M174" s="42"/>
      <x:c r="N174" s="42" t="str">
        <x:f>IF(OR(L174="",M174=""),"",L174*M174)</x:f>
      </x:c>
      <x:c r="O174" s="40"/>
      <x:c r="P174" s="40"/>
      <x:c r="Q174" s="40"/>
      <x:c r="U174" s="42"/>
    </x:row>
    <x:row r="175">
      <x:c r="B175" s="40"/>
      <x:c r="M175" s="42"/>
      <x:c r="N175" s="42" t="str">
        <x:f>IF(OR(L175="",M175=""),"",L175*M175)</x:f>
      </x:c>
      <x:c r="O175" s="40"/>
      <x:c r="P175" s="40"/>
      <x:c r="Q175" s="40"/>
      <x:c r="U175" s="42"/>
    </x:row>
    <x:row r="176">
      <x:c r="B176" s="40"/>
      <x:c r="M176" s="42"/>
      <x:c r="N176" s="42" t="str">
        <x:f>IF(OR(L176="",M176=""),"",L176*M176)</x:f>
      </x:c>
      <x:c r="O176" s="40"/>
      <x:c r="P176" s="40"/>
      <x:c r="Q176" s="40"/>
      <x:c r="U176" s="42"/>
    </x:row>
    <x:row r="177">
      <x:c r="B177" s="40"/>
      <x:c r="M177" s="42"/>
      <x:c r="N177" s="42" t="str">
        <x:f>IF(OR(L177="",M177=""),"",L177*M177)</x:f>
      </x:c>
      <x:c r="O177" s="40"/>
      <x:c r="P177" s="40"/>
      <x:c r="Q177" s="40"/>
      <x:c r="U177" s="42"/>
    </x:row>
    <x:row r="178">
      <x:c r="B178" s="40"/>
      <x:c r="M178" s="42"/>
      <x:c r="N178" s="42" t="str">
        <x:f>IF(OR(L178="",M178=""),"",L178*M178)</x:f>
      </x:c>
      <x:c r="O178" s="40"/>
      <x:c r="P178" s="40"/>
      <x:c r="Q178" s="40"/>
      <x:c r="U178" s="42"/>
    </x:row>
    <x:row r="179">
      <x:c r="B179" s="40"/>
      <x:c r="M179" s="42"/>
      <x:c r="N179" s="42" t="str">
        <x:f>IF(OR(L179="",M179=""),"",L179*M179)</x:f>
      </x:c>
      <x:c r="O179" s="40"/>
      <x:c r="P179" s="40"/>
      <x:c r="Q179" s="40"/>
      <x:c r="U179" s="42"/>
    </x:row>
    <x:row r="180">
      <x:c r="B180" s="40"/>
      <x:c r="M180" s="42"/>
      <x:c r="N180" s="42" t="str">
        <x:f>IF(OR(L180="",M180=""),"",L180*M180)</x:f>
      </x:c>
      <x:c r="O180" s="40"/>
      <x:c r="P180" s="40"/>
      <x:c r="Q180" s="40"/>
      <x:c r="U180" s="42"/>
    </x:row>
    <x:row r="181">
      <x:c r="B181" s="40"/>
      <x:c r="M181" s="42"/>
      <x:c r="N181" s="42" t="str">
        <x:f>IF(OR(L181="",M181=""),"",L181*M181)</x:f>
      </x:c>
      <x:c r="O181" s="40"/>
      <x:c r="P181" s="40"/>
      <x:c r="Q181" s="40"/>
      <x:c r="U181" s="42"/>
    </x:row>
    <x:row r="182">
      <x:c r="B182" s="40"/>
      <x:c r="M182" s="42"/>
      <x:c r="N182" s="42" t="str">
        <x:f>IF(OR(L182="",M182=""),"",L182*M182)</x:f>
      </x:c>
      <x:c r="O182" s="40"/>
      <x:c r="P182" s="40"/>
      <x:c r="Q182" s="40"/>
      <x:c r="U182" s="42"/>
    </x:row>
    <x:row r="183">
      <x:c r="B183" s="40"/>
      <x:c r="M183" s="42"/>
      <x:c r="N183" s="42" t="str">
        <x:f>IF(OR(L183="",M183=""),"",L183*M183)</x:f>
      </x:c>
      <x:c r="O183" s="40"/>
      <x:c r="P183" s="40"/>
      <x:c r="Q183" s="40"/>
      <x:c r="U183" s="42"/>
    </x:row>
    <x:row r="184">
      <x:c r="B184" s="40"/>
      <x:c r="M184" s="42"/>
      <x:c r="N184" s="42" t="str">
        <x:f>IF(OR(L184="",M184=""),"",L184*M184)</x:f>
      </x:c>
      <x:c r="O184" s="40"/>
      <x:c r="P184" s="40"/>
      <x:c r="Q184" s="40"/>
      <x:c r="U184" s="42"/>
    </x:row>
    <x:row r="185">
      <x:c r="B185" s="40"/>
      <x:c r="M185" s="42"/>
      <x:c r="N185" s="42" t="str">
        <x:f>IF(OR(L185="",M185=""),"",L185*M185)</x:f>
      </x:c>
      <x:c r="O185" s="40"/>
      <x:c r="P185" s="40"/>
      <x:c r="Q185" s="40"/>
      <x:c r="U185" s="42"/>
    </x:row>
    <x:row r="186">
      <x:c r="B186" s="40"/>
      <x:c r="M186" s="42"/>
      <x:c r="N186" s="42" t="str">
        <x:f>IF(OR(L186="",M186=""),"",L186*M186)</x:f>
      </x:c>
      <x:c r="O186" s="40"/>
      <x:c r="P186" s="40"/>
      <x:c r="Q186" s="40"/>
      <x:c r="U186" s="42"/>
    </x:row>
    <x:row r="187">
      <x:c r="B187" s="40"/>
      <x:c r="M187" s="42"/>
      <x:c r="N187" s="42" t="str">
        <x:f>IF(OR(L187="",M187=""),"",L187*M187)</x:f>
      </x:c>
      <x:c r="O187" s="40"/>
      <x:c r="P187" s="40"/>
      <x:c r="Q187" s="40"/>
      <x:c r="U187" s="42"/>
    </x:row>
    <x:row r="188">
      <x:c r="B188" s="40"/>
      <x:c r="M188" s="42"/>
      <x:c r="N188" s="42" t="str">
        <x:f>IF(OR(L188="",M188=""),"",L188*M188)</x:f>
      </x:c>
      <x:c r="O188" s="40"/>
      <x:c r="P188" s="40"/>
      <x:c r="Q188" s="40"/>
      <x:c r="U188" s="42"/>
    </x:row>
    <x:row r="189">
      <x:c r="B189" s="40"/>
      <x:c r="M189" s="42"/>
      <x:c r="N189" s="42" t="str">
        <x:f>IF(OR(L189="",M189=""),"",L189*M189)</x:f>
      </x:c>
      <x:c r="O189" s="40"/>
      <x:c r="P189" s="40"/>
      <x:c r="Q189" s="40"/>
      <x:c r="U189" s="42"/>
    </x:row>
    <x:row r="190">
      <x:c r="B190" s="40"/>
      <x:c r="M190" s="42"/>
      <x:c r="N190" s="42" t="str">
        <x:f>IF(OR(L190="",M190=""),"",L190*M190)</x:f>
      </x:c>
      <x:c r="O190" s="40"/>
      <x:c r="P190" s="40"/>
      <x:c r="Q190" s="40"/>
      <x:c r="U190" s="42"/>
    </x:row>
    <x:row r="191">
      <x:c r="B191" s="40"/>
      <x:c r="M191" s="42"/>
      <x:c r="N191" s="42" t="str">
        <x:f>IF(OR(L191="",M191=""),"",L191*M191)</x:f>
      </x:c>
      <x:c r="O191" s="40"/>
      <x:c r="P191" s="40"/>
      <x:c r="Q191" s="40"/>
      <x:c r="U191" s="42"/>
    </x:row>
    <x:row r="192">
      <x:c r="B192" s="40"/>
      <x:c r="M192" s="42"/>
      <x:c r="N192" s="42" t="str">
        <x:f>IF(OR(L192="",M192=""),"",L192*M192)</x:f>
      </x:c>
      <x:c r="O192" s="40"/>
      <x:c r="P192" s="40"/>
      <x:c r="Q192" s="40"/>
      <x:c r="U192" s="42"/>
    </x:row>
    <x:row r="193">
      <x:c r="B193" s="40"/>
      <x:c r="M193" s="42"/>
      <x:c r="N193" s="42" t="str">
        <x:f>IF(OR(L193="",M193=""),"",L193*M193)</x:f>
      </x:c>
      <x:c r="O193" s="40"/>
      <x:c r="P193" s="40"/>
      <x:c r="Q193" s="40"/>
      <x:c r="U193" s="42"/>
    </x:row>
    <x:row r="194">
      <x:c r="B194" s="40"/>
      <x:c r="M194" s="42"/>
      <x:c r="N194" s="42" t="str">
        <x:f>IF(OR(L194="",M194=""),"",L194*M194)</x:f>
      </x:c>
      <x:c r="O194" s="40"/>
      <x:c r="P194" s="40"/>
      <x:c r="Q194" s="40"/>
      <x:c r="U194" s="42"/>
    </x:row>
    <x:row r="195">
      <x:c r="B195" s="40"/>
      <x:c r="M195" s="42"/>
      <x:c r="N195" s="42" t="str">
        <x:f>IF(OR(L195="",M195=""),"",L195*M195)</x:f>
      </x:c>
      <x:c r="O195" s="40"/>
      <x:c r="P195" s="40"/>
      <x:c r="Q195" s="40"/>
      <x:c r="U195" s="42"/>
    </x:row>
    <x:row r="196">
      <x:c r="B196" s="40"/>
      <x:c r="M196" s="42"/>
      <x:c r="N196" s="42" t="str">
        <x:f>IF(OR(L196="",M196=""),"",L196*M196)</x:f>
      </x:c>
      <x:c r="O196" s="40"/>
      <x:c r="P196" s="40"/>
      <x:c r="Q196" s="40"/>
      <x:c r="U196" s="42"/>
    </x:row>
    <x:row r="197">
      <x:c r="B197" s="40"/>
      <x:c r="M197" s="42"/>
      <x:c r="N197" s="42" t="str">
        <x:f>IF(OR(L197="",M197=""),"",L197*M197)</x:f>
      </x:c>
      <x:c r="O197" s="40"/>
      <x:c r="P197" s="40"/>
      <x:c r="Q197" s="40"/>
      <x:c r="U197" s="42"/>
    </x:row>
    <x:row r="198">
      <x:c r="B198" s="40"/>
      <x:c r="M198" s="42"/>
      <x:c r="N198" s="42" t="str">
        <x:f>IF(OR(L198="",M198=""),"",L198*M198)</x:f>
      </x:c>
      <x:c r="O198" s="40"/>
      <x:c r="P198" s="40"/>
      <x:c r="Q198" s="40"/>
      <x:c r="U198" s="42"/>
    </x:row>
    <x:row r="199">
      <x:c r="B199" s="40"/>
      <x:c r="M199" s="42"/>
      <x:c r="N199" s="42" t="str">
        <x:f>IF(OR(L199="",M199=""),"",L199*M199)</x:f>
      </x:c>
      <x:c r="O199" s="40"/>
      <x:c r="P199" s="40"/>
      <x:c r="Q199" s="40"/>
      <x:c r="U199" s="42"/>
    </x:row>
    <x:row r="200">
      <x:c r="B200" s="40"/>
      <x:c r="M200" s="42"/>
      <x:c r="N200" s="42" t="str">
        <x:f>IF(OR(L200="",M200=""),"",L200*M200)</x:f>
      </x:c>
      <x:c r="O200" s="40"/>
      <x:c r="P200" s="40"/>
      <x:c r="Q200" s="40"/>
      <x:c r="U200" s="42"/>
    </x:row>
    <x:row r="201">
      <x:c r="B201" s="40"/>
      <x:c r="M201" s="42"/>
      <x:c r="N201" s="42" t="str">
        <x:f>IF(OR(L201="",M201=""),"",L201*M201)</x:f>
      </x:c>
      <x:c r="O201" s="40"/>
      <x:c r="P201" s="40"/>
      <x:c r="Q201" s="40"/>
      <x:c r="U201" s="42"/>
    </x:row>
    <x:row r="202">
      <x:c r="B202" s="40"/>
      <x:c r="M202" s="42"/>
      <x:c r="N202" s="42" t="str">
        <x:f>IF(OR(L202="",M202=""),"",L202*M202)</x:f>
      </x:c>
      <x:c r="O202" s="40"/>
      <x:c r="P202" s="40"/>
      <x:c r="Q202" s="40"/>
      <x:c r="U202" s="42"/>
    </x:row>
    <x:row r="203">
      <x:c r="B203" s="40"/>
      <x:c r="M203" s="42"/>
      <x:c r="N203" s="42" t="str">
        <x:f>IF(OR(L203="",M203=""),"",L203*M203)</x:f>
      </x:c>
      <x:c r="O203" s="40"/>
      <x:c r="P203" s="40"/>
      <x:c r="Q203" s="40"/>
      <x:c r="U203" s="42"/>
    </x:row>
    <x:row r="204">
      <x:c r="B204" s="40"/>
      <x:c r="M204" s="42"/>
      <x:c r="N204" s="42" t="str">
        <x:f>IF(OR(L204="",M204=""),"",L204*M204)</x:f>
      </x:c>
      <x:c r="O204" s="40"/>
      <x:c r="P204" s="40"/>
      <x:c r="Q204" s="40"/>
      <x:c r="U204" s="42"/>
    </x:row>
    <x:row r="205">
      <x:c r="B205" s="40"/>
      <x:c r="M205" s="42"/>
      <x:c r="N205" s="42" t="str">
        <x:f>IF(OR(L205="",M205=""),"",L205*M205)</x:f>
      </x:c>
      <x:c r="O205" s="40"/>
      <x:c r="P205" s="40"/>
      <x:c r="Q205" s="40"/>
      <x:c r="U205" s="42"/>
    </x:row>
    <x:row r="206">
      <x:c r="B206" s="40"/>
      <x:c r="M206" s="42"/>
      <x:c r="N206" s="42" t="str">
        <x:f>IF(OR(L206="",M206=""),"",L206*M206)</x:f>
      </x:c>
      <x:c r="O206" s="40"/>
      <x:c r="P206" s="40"/>
      <x:c r="Q206" s="40"/>
      <x:c r="U206" s="42"/>
    </x:row>
    <x:row r="207">
      <x:c r="B207" s="40"/>
      <x:c r="M207" s="42"/>
      <x:c r="N207" s="42" t="str">
        <x:f>IF(OR(L207="",M207=""),"",L207*M207)</x:f>
      </x:c>
      <x:c r="O207" s="40"/>
      <x:c r="P207" s="40"/>
      <x:c r="Q207" s="40"/>
      <x:c r="U207" s="42"/>
    </x:row>
    <x:row r="208">
      <x:c r="B208" s="40"/>
      <x:c r="M208" s="42"/>
      <x:c r="N208" s="42" t="str">
        <x:f>IF(OR(L208="",M208=""),"",L208*M208)</x:f>
      </x:c>
      <x:c r="O208" s="40"/>
      <x:c r="P208" s="40"/>
      <x:c r="Q208" s="40"/>
      <x:c r="U208" s="42"/>
    </x:row>
    <x:row r="209">
      <x:c r="B209" s="40"/>
      <x:c r="M209" s="42"/>
      <x:c r="N209" s="42" t="str">
        <x:f>IF(OR(L209="",M209=""),"",L209*M209)</x:f>
      </x:c>
      <x:c r="O209" s="40"/>
      <x:c r="P209" s="40"/>
      <x:c r="Q209" s="40"/>
      <x:c r="U209" s="42"/>
    </x:row>
    <x:row r="210">
      <x:c r="B210" s="40"/>
      <x:c r="M210" s="42"/>
      <x:c r="N210" s="42" t="str">
        <x:f>IF(OR(L210="",M210=""),"",L210*M210)</x:f>
      </x:c>
      <x:c r="O210" s="40"/>
      <x:c r="P210" s="40"/>
      <x:c r="Q210" s="40"/>
      <x:c r="U210" s="42"/>
    </x:row>
    <x:row r="211">
      <x:c r="B211" s="40"/>
      <x:c r="M211" s="42"/>
      <x:c r="N211" s="42" t="str">
        <x:f>IF(OR(L211="",M211=""),"",L211*M211)</x:f>
      </x:c>
      <x:c r="O211" s="40"/>
      <x:c r="P211" s="40"/>
      <x:c r="Q211" s="40"/>
      <x:c r="U211" s="42"/>
    </x:row>
    <x:row r="212">
      <x:c r="B212" s="40"/>
      <x:c r="M212" s="42"/>
      <x:c r="N212" s="42" t="str">
        <x:f>IF(OR(L212="",M212=""),"",L212*M212)</x:f>
      </x:c>
      <x:c r="O212" s="40"/>
      <x:c r="P212" s="40"/>
      <x:c r="Q212" s="40"/>
      <x:c r="U212" s="42"/>
    </x:row>
    <x:row r="213">
      <x:c r="B213" s="40"/>
      <x:c r="M213" s="42"/>
      <x:c r="N213" s="42" t="str">
        <x:f>IF(OR(L213="",M213=""),"",L213*M213)</x:f>
      </x:c>
      <x:c r="O213" s="40"/>
      <x:c r="P213" s="40"/>
      <x:c r="Q213" s="40"/>
      <x:c r="U213" s="42"/>
    </x:row>
    <x:row r="214">
      <x:c r="B214" s="40"/>
      <x:c r="M214" s="42"/>
      <x:c r="N214" s="42" t="str">
        <x:f>IF(OR(L214="",M214=""),"",L214*M214)</x:f>
      </x:c>
      <x:c r="O214" s="40"/>
      <x:c r="P214" s="40"/>
      <x:c r="Q214" s="40"/>
      <x:c r="U214" s="42"/>
    </x:row>
    <x:row r="215">
      <x:c r="B215" s="40"/>
      <x:c r="M215" s="42"/>
      <x:c r="N215" s="42" t="str">
        <x:f>IF(OR(L215="",M215=""),"",L215*M215)</x:f>
      </x:c>
      <x:c r="O215" s="40"/>
      <x:c r="P215" s="40"/>
      <x:c r="Q215" s="40"/>
      <x:c r="U215" s="42"/>
    </x:row>
    <x:row r="216">
      <x:c r="B216" s="40"/>
      <x:c r="M216" s="42"/>
      <x:c r="N216" s="42" t="str">
        <x:f>IF(OR(L216="",M216=""),"",L216*M216)</x:f>
      </x:c>
      <x:c r="O216" s="40"/>
      <x:c r="P216" s="40"/>
      <x:c r="Q216" s="40"/>
      <x:c r="U216" s="42"/>
    </x:row>
    <x:row r="217">
      <x:c r="B217" s="40"/>
      <x:c r="M217" s="42"/>
      <x:c r="N217" s="42" t="str">
        <x:f>IF(OR(L217="",M217=""),"",L217*M217)</x:f>
      </x:c>
      <x:c r="O217" s="40"/>
      <x:c r="P217" s="40"/>
      <x:c r="Q217" s="40"/>
      <x:c r="U217" s="42"/>
    </x:row>
    <x:row r="218">
      <x:c r="B218" s="40"/>
      <x:c r="M218" s="42"/>
      <x:c r="N218" s="42" t="str">
        <x:f>IF(OR(L218="",M218=""),"",L218*M218)</x:f>
      </x:c>
      <x:c r="O218" s="40"/>
      <x:c r="P218" s="40"/>
      <x:c r="Q218" s="40"/>
      <x:c r="U218" s="42"/>
    </x:row>
    <x:row r="219">
      <x:c r="B219" s="40"/>
      <x:c r="M219" s="42"/>
      <x:c r="N219" s="42" t="str">
        <x:f>IF(OR(L219="",M219=""),"",L219*M219)</x:f>
      </x:c>
      <x:c r="O219" s="40"/>
      <x:c r="P219" s="40"/>
      <x:c r="Q219" s="40"/>
      <x:c r="U219" s="42"/>
    </x:row>
    <x:row r="220">
      <x:c r="B220" s="40"/>
      <x:c r="M220" s="42"/>
      <x:c r="N220" s="42" t="str">
        <x:f>IF(OR(L220="",M220=""),"",L220*M220)</x:f>
      </x:c>
      <x:c r="O220" s="40"/>
      <x:c r="P220" s="40"/>
      <x:c r="Q220" s="40"/>
      <x:c r="U220" s="42"/>
    </x:row>
    <x:row r="221">
      <x:c r="B221" s="40"/>
      <x:c r="M221" s="42"/>
      <x:c r="N221" s="42" t="str">
        <x:f>IF(OR(L221="",M221=""),"",L221*M221)</x:f>
      </x:c>
      <x:c r="O221" s="40"/>
      <x:c r="P221" s="40"/>
      <x:c r="Q221" s="40"/>
      <x:c r="U221" s="42"/>
    </x:row>
    <x:row r="222">
      <x:c r="B222" s="40"/>
      <x:c r="M222" s="42"/>
      <x:c r="N222" s="42" t="str">
        <x:f>IF(OR(L222="",M222=""),"",L222*M222)</x:f>
      </x:c>
      <x:c r="O222" s="40"/>
      <x:c r="P222" s="40"/>
      <x:c r="Q222" s="40"/>
      <x:c r="U222" s="42"/>
    </x:row>
    <x:row r="223">
      <x:c r="B223" s="40"/>
      <x:c r="M223" s="42"/>
      <x:c r="N223" s="42" t="str">
        <x:f>IF(OR(L223="",M223=""),"",L223*M223)</x:f>
      </x:c>
      <x:c r="O223" s="40"/>
      <x:c r="P223" s="40"/>
      <x:c r="Q223" s="40"/>
      <x:c r="U223" s="42"/>
    </x:row>
    <x:row r="224">
      <x:c r="B224" s="40"/>
      <x:c r="M224" s="42"/>
      <x:c r="N224" s="42" t="str">
        <x:f>IF(OR(L224="",M224=""),"",L224*M224)</x:f>
      </x:c>
      <x:c r="O224" s="40"/>
      <x:c r="P224" s="40"/>
      <x:c r="Q224" s="40"/>
      <x:c r="U224" s="42"/>
    </x:row>
    <x:row r="225">
      <x:c r="B225" s="40"/>
      <x:c r="M225" s="42"/>
      <x:c r="N225" s="42" t="str">
        <x:f>IF(OR(L225="",M225=""),"",L225*M225)</x:f>
      </x:c>
      <x:c r="O225" s="40"/>
      <x:c r="P225" s="40"/>
      <x:c r="Q225" s="40"/>
      <x:c r="U225" s="42"/>
    </x:row>
    <x:row r="226">
      <x:c r="B226" s="40"/>
      <x:c r="M226" s="42"/>
      <x:c r="N226" s="42" t="str">
        <x:f>IF(OR(L226="",M226=""),"",L226*M226)</x:f>
      </x:c>
      <x:c r="O226" s="40"/>
      <x:c r="P226" s="40"/>
      <x:c r="Q226" s="40"/>
      <x:c r="U226" s="42"/>
    </x:row>
    <x:row r="227">
      <x:c r="B227" s="40"/>
      <x:c r="M227" s="42"/>
      <x:c r="N227" s="42" t="str">
        <x:f>IF(OR(L227="",M227=""),"",L227*M227)</x:f>
      </x:c>
      <x:c r="O227" s="40"/>
      <x:c r="P227" s="40"/>
      <x:c r="Q227" s="40"/>
      <x:c r="U227" s="42"/>
    </x:row>
    <x:row r="228">
      <x:c r="B228" s="40"/>
      <x:c r="M228" s="42"/>
      <x:c r="N228" s="42" t="str">
        <x:f>IF(OR(L228="",M228=""),"",L228*M228)</x:f>
      </x:c>
      <x:c r="O228" s="40"/>
      <x:c r="P228" s="40"/>
      <x:c r="Q228" s="40"/>
      <x:c r="U228" s="42"/>
    </x:row>
    <x:row r="229">
      <x:c r="B229" s="40"/>
      <x:c r="M229" s="42"/>
      <x:c r="N229" s="42" t="str">
        <x:f>IF(OR(L229="",M229=""),"",L229*M229)</x:f>
      </x:c>
      <x:c r="O229" s="40"/>
      <x:c r="P229" s="40"/>
      <x:c r="Q229" s="40"/>
      <x:c r="U229" s="42"/>
    </x:row>
    <x:row r="230">
      <x:c r="B230" s="40"/>
      <x:c r="M230" s="42"/>
      <x:c r="N230" s="42" t="str">
        <x:f>IF(OR(L230="",M230=""),"",L230*M230)</x:f>
      </x:c>
      <x:c r="O230" s="40"/>
      <x:c r="P230" s="40"/>
      <x:c r="Q230" s="40"/>
      <x:c r="U230" s="42"/>
    </x:row>
    <x:row r="231">
      <x:c r="B231" s="40"/>
      <x:c r="M231" s="42"/>
      <x:c r="N231" s="42" t="str">
        <x:f>IF(OR(L231="",M231=""),"",L231*M231)</x:f>
      </x:c>
      <x:c r="O231" s="40"/>
      <x:c r="P231" s="40"/>
      <x:c r="Q231" s="40"/>
      <x:c r="U231" s="42"/>
    </x:row>
    <x:row r="232">
      <x:c r="B232" s="40"/>
      <x:c r="M232" s="42"/>
      <x:c r="N232" s="42" t="str">
        <x:f>IF(OR(L232="",M232=""),"",L232*M232)</x:f>
      </x:c>
      <x:c r="O232" s="40"/>
      <x:c r="P232" s="40"/>
      <x:c r="Q232" s="40"/>
      <x:c r="U232" s="42"/>
    </x:row>
    <x:row r="233">
      <x:c r="B233" s="40"/>
      <x:c r="M233" s="42"/>
      <x:c r="N233" s="42" t="str">
        <x:f>IF(OR(L233="",M233=""),"",L233*M233)</x:f>
      </x:c>
      <x:c r="O233" s="40"/>
      <x:c r="P233" s="40"/>
      <x:c r="Q233" s="40"/>
      <x:c r="U233" s="42"/>
    </x:row>
    <x:row r="234">
      <x:c r="B234" s="40"/>
      <x:c r="M234" s="42"/>
      <x:c r="N234" s="42" t="str">
        <x:f>IF(OR(L234="",M234=""),"",L234*M234)</x:f>
      </x:c>
      <x:c r="O234" s="40"/>
      <x:c r="P234" s="40"/>
      <x:c r="Q234" s="40"/>
      <x:c r="U234" s="42"/>
    </x:row>
    <x:row r="235">
      <x:c r="B235" s="40"/>
      <x:c r="M235" s="42"/>
      <x:c r="N235" s="42" t="str">
        <x:f>IF(OR(L235="",M235=""),"",L235*M235)</x:f>
      </x:c>
      <x:c r="O235" s="40"/>
      <x:c r="P235" s="40"/>
      <x:c r="Q235" s="40"/>
      <x:c r="U235" s="42"/>
    </x:row>
    <x:row r="236">
      <x:c r="B236" s="40"/>
      <x:c r="M236" s="42"/>
      <x:c r="N236" s="42" t="str">
        <x:f>IF(OR(L236="",M236=""),"",L236*M236)</x:f>
      </x:c>
      <x:c r="O236" s="40"/>
      <x:c r="P236" s="40"/>
      <x:c r="Q236" s="40"/>
      <x:c r="U236" s="42"/>
    </x:row>
    <x:row r="237">
      <x:c r="B237" s="40"/>
      <x:c r="M237" s="42"/>
      <x:c r="N237" s="42" t="str">
        <x:f>IF(OR(L237="",M237=""),"",L237*M237)</x:f>
      </x:c>
      <x:c r="O237" s="40"/>
      <x:c r="P237" s="40"/>
      <x:c r="Q237" s="40"/>
      <x:c r="U237" s="42"/>
    </x:row>
    <x:row r="238">
      <x:c r="B238" s="40"/>
      <x:c r="M238" s="42"/>
      <x:c r="N238" s="42" t="str">
        <x:f>IF(OR(L238="",M238=""),"",L238*M238)</x:f>
      </x:c>
      <x:c r="O238" s="40"/>
      <x:c r="P238" s="40"/>
      <x:c r="Q238" s="40"/>
      <x:c r="U238" s="42"/>
    </x:row>
    <x:row r="239">
      <x:c r="B239" s="40"/>
      <x:c r="M239" s="42"/>
      <x:c r="N239" s="42" t="str">
        <x:f>IF(OR(L239="",M239=""),"",L239*M239)</x:f>
      </x:c>
      <x:c r="O239" s="40"/>
      <x:c r="P239" s="40"/>
      <x:c r="Q239" s="40"/>
      <x:c r="U239" s="42"/>
    </x:row>
    <x:row r="240">
      <x:c r="B240" s="40"/>
      <x:c r="M240" s="42"/>
      <x:c r="N240" s="42" t="str">
        <x:f>IF(OR(L240="",M240=""),"",L240*M240)</x:f>
      </x:c>
      <x:c r="O240" s="40"/>
      <x:c r="P240" s="40"/>
      <x:c r="Q240" s="40"/>
      <x:c r="U240" s="42"/>
    </x:row>
    <x:row r="241">
      <x:c r="B241" s="40"/>
      <x:c r="M241" s="42"/>
      <x:c r="N241" s="42" t="str">
        <x:f>IF(OR(L241="",M241=""),"",L241*M241)</x:f>
      </x:c>
      <x:c r="O241" s="40"/>
      <x:c r="P241" s="40"/>
      <x:c r="Q241" s="40"/>
      <x:c r="U241" s="42"/>
    </x:row>
    <x:row r="242">
      <x:c r="B242" s="40"/>
      <x:c r="M242" s="42"/>
      <x:c r="N242" s="42" t="str">
        <x:f>IF(OR(L242="",M242=""),"",L242*M242)</x:f>
      </x:c>
      <x:c r="O242" s="40"/>
      <x:c r="P242" s="40"/>
      <x:c r="Q242" s="40"/>
      <x:c r="U242" s="42"/>
    </x:row>
    <x:row r="243">
      <x:c r="B243" s="40"/>
      <x:c r="M243" s="42"/>
      <x:c r="N243" s="42" t="str">
        <x:f>IF(OR(L243="",M243=""),"",L243*M243)</x:f>
      </x:c>
      <x:c r="O243" s="40"/>
      <x:c r="P243" s="40"/>
      <x:c r="Q243" s="40"/>
      <x:c r="U243" s="42"/>
    </x:row>
    <x:row r="244">
      <x:c r="B244" s="40"/>
      <x:c r="M244" s="42"/>
      <x:c r="N244" s="42" t="str">
        <x:f>IF(OR(L244="",M244=""),"",L244*M244)</x:f>
      </x:c>
      <x:c r="O244" s="40"/>
      <x:c r="P244" s="40"/>
      <x:c r="Q244" s="40"/>
      <x:c r="U244" s="42"/>
    </x:row>
    <x:row r="245">
      <x:c r="B245" s="40"/>
      <x:c r="M245" s="42"/>
      <x:c r="N245" s="42" t="str">
        <x:f>IF(OR(L245="",M245=""),"",L245*M245)</x:f>
      </x:c>
      <x:c r="O245" s="40"/>
      <x:c r="P245" s="40"/>
      <x:c r="Q245" s="40"/>
      <x:c r="U245" s="42"/>
    </x:row>
    <x:row r="246">
      <x:c r="B246" s="40"/>
      <x:c r="M246" s="42"/>
      <x:c r="N246" s="42" t="str">
        <x:f>IF(OR(L246="",M246=""),"",L246*M246)</x:f>
      </x:c>
      <x:c r="O246" s="40"/>
      <x:c r="P246" s="40"/>
      <x:c r="Q246" s="40"/>
      <x:c r="U246" s="42"/>
    </x:row>
    <x:row r="247">
      <x:c r="B247" s="40"/>
      <x:c r="M247" s="42"/>
      <x:c r="N247" s="42" t="str">
        <x:f>IF(OR(L247="",M247=""),"",L247*M247)</x:f>
      </x:c>
      <x:c r="O247" s="40"/>
      <x:c r="P247" s="40"/>
      <x:c r="Q247" s="40"/>
      <x:c r="U247" s="42"/>
    </x:row>
    <x:row r="248">
      <x:c r="B248" s="40"/>
      <x:c r="M248" s="42"/>
      <x:c r="N248" s="42" t="str">
        <x:f>IF(OR(L248="",M248=""),"",L248*M248)</x:f>
      </x:c>
      <x:c r="O248" s="40"/>
      <x:c r="P248" s="40"/>
      <x:c r="Q248" s="40"/>
      <x:c r="U248" s="42"/>
    </x:row>
    <x:row r="249">
      <x:c r="B249" s="40"/>
      <x:c r="M249" s="42"/>
      <x:c r="N249" s="42" t="str">
        <x:f>IF(OR(L249="",M249=""),"",L249*M249)</x:f>
      </x:c>
      <x:c r="O249" s="40"/>
      <x:c r="P249" s="40"/>
      <x:c r="Q249" s="40"/>
      <x:c r="U249" s="42"/>
    </x:row>
    <x:row r="250">
      <x:c r="B250" s="40"/>
      <x:c r="M250" s="42"/>
      <x:c r="N250" s="42" t="str">
        <x:f>IF(OR(L250="",M250=""),"",L250*M250)</x:f>
      </x:c>
      <x:c r="O250" s="40"/>
      <x:c r="P250" s="40"/>
      <x:c r="Q250" s="40"/>
      <x:c r="U250" s="42"/>
    </x:row>
    <x:row r="251">
      <x:c r="B251" s="40"/>
      <x:c r="M251" s="42"/>
      <x:c r="N251" s="42" t="str">
        <x:f>IF(OR(L251="",M251=""),"",L251*M251)</x:f>
      </x:c>
      <x:c r="O251" s="40"/>
      <x:c r="P251" s="40"/>
      <x:c r="Q251" s="40"/>
      <x:c r="U251" s="42"/>
    </x:row>
    <x:row r="252">
      <x:c r="B252" s="40"/>
      <x:c r="M252" s="42"/>
      <x:c r="N252" s="42" t="str">
        <x:f>IF(OR(L252="",M252=""),"",L252*M252)</x:f>
      </x:c>
      <x:c r="O252" s="40"/>
      <x:c r="P252" s="40"/>
      <x:c r="Q252" s="40"/>
      <x:c r="U252" s="42"/>
    </x:row>
    <x:row r="253">
      <x:c r="B253" s="40"/>
      <x:c r="M253" s="42"/>
      <x:c r="N253" s="42" t="str">
        <x:f>IF(OR(L253="",M253=""),"",L253*M253)</x:f>
      </x:c>
      <x:c r="O253" s="40"/>
      <x:c r="P253" s="40"/>
      <x:c r="Q253" s="40"/>
      <x:c r="U253" s="42"/>
    </x:row>
    <x:row r="254">
      <x:c r="B254" s="40"/>
      <x:c r="M254" s="42"/>
      <x:c r="N254" s="42" t="str">
        <x:f>IF(OR(L254="",M254=""),"",L254*M254)</x:f>
      </x:c>
      <x:c r="O254" s="40"/>
      <x:c r="P254" s="40"/>
      <x:c r="Q254" s="40"/>
      <x:c r="U254" s="42"/>
    </x:row>
    <x:row r="255">
      <x:c r="B255" s="40"/>
      <x:c r="M255" s="42"/>
      <x:c r="N255" s="42" t="str">
        <x:f>IF(OR(L255="",M255=""),"",L255*M255)</x:f>
      </x:c>
      <x:c r="O255" s="40"/>
      <x:c r="P255" s="40"/>
      <x:c r="Q255" s="40"/>
      <x:c r="U255" s="42"/>
    </x:row>
    <x:row r="256">
      <x:c r="B256" s="40"/>
      <x:c r="M256" s="42"/>
      <x:c r="N256" s="42" t="str">
        <x:f>IF(OR(L256="",M256=""),"",L256*M256)</x:f>
      </x:c>
      <x:c r="O256" s="40"/>
      <x:c r="P256" s="40"/>
      <x:c r="Q256" s="40"/>
      <x:c r="U256" s="42"/>
    </x:row>
    <x:row r="257">
      <x:c r="B257" s="40"/>
      <x:c r="M257" s="42"/>
      <x:c r="N257" s="42" t="str">
        <x:f>IF(OR(L257="",M257=""),"",L257*M257)</x:f>
      </x:c>
      <x:c r="O257" s="40"/>
      <x:c r="P257" s="40"/>
      <x:c r="Q257" s="40"/>
      <x:c r="U257" s="42"/>
    </x:row>
    <x:row r="258">
      <x:c r="B258" s="40"/>
      <x:c r="M258" s="42"/>
      <x:c r="N258" s="42" t="str">
        <x:f>IF(OR(L258="",M258=""),"",L258*M258)</x:f>
      </x:c>
      <x:c r="O258" s="40"/>
      <x:c r="P258" s="40"/>
      <x:c r="Q258" s="40"/>
      <x:c r="U258" s="42"/>
    </x:row>
    <x:row r="259">
      <x:c r="B259" s="40"/>
      <x:c r="M259" s="42"/>
      <x:c r="N259" s="42" t="str">
        <x:f>IF(OR(L259="",M259=""),"",L259*M259)</x:f>
      </x:c>
      <x:c r="O259" s="40"/>
      <x:c r="P259" s="40"/>
      <x:c r="Q259" s="40"/>
      <x:c r="U259" s="42"/>
    </x:row>
    <x:row r="260">
      <x:c r="B260" s="40"/>
      <x:c r="M260" s="42"/>
      <x:c r="N260" s="42" t="str">
        <x:f>IF(OR(L260="",M260=""),"",L260*M260)</x:f>
      </x:c>
      <x:c r="O260" s="40"/>
      <x:c r="P260" s="40"/>
      <x:c r="Q260" s="40"/>
      <x:c r="U260" s="42"/>
    </x:row>
    <x:row r="261">
      <x:c r="B261" s="40"/>
      <x:c r="M261" s="42"/>
      <x:c r="N261" s="42" t="str">
        <x:f>IF(OR(L261="",M261=""),"",L261*M261)</x:f>
      </x:c>
      <x:c r="O261" s="40"/>
      <x:c r="P261" s="40"/>
      <x:c r="Q261" s="40"/>
      <x:c r="U261" s="42"/>
    </x:row>
    <x:row r="262">
      <x:c r="B262" s="40"/>
      <x:c r="M262" s="42"/>
      <x:c r="N262" s="42" t="str">
        <x:f>IF(OR(L262="",M262=""),"",L262*M262)</x:f>
      </x:c>
      <x:c r="O262" s="40"/>
      <x:c r="P262" s="40"/>
      <x:c r="Q262" s="40"/>
      <x:c r="U262" s="42"/>
    </x:row>
    <x:row r="263">
      <x:c r="B263" s="40"/>
      <x:c r="M263" s="42"/>
      <x:c r="N263" s="42" t="str">
        <x:f>IF(OR(L263="",M263=""),"",L263*M263)</x:f>
      </x:c>
      <x:c r="O263" s="40"/>
      <x:c r="P263" s="40"/>
      <x:c r="Q263" s="40"/>
      <x:c r="U263" s="42"/>
    </x:row>
    <x:row r="264">
      <x:c r="B264" s="40"/>
      <x:c r="M264" s="42"/>
      <x:c r="N264" s="42" t="str">
        <x:f>IF(OR(L264="",M264=""),"",L264*M264)</x:f>
      </x:c>
      <x:c r="O264" s="40"/>
      <x:c r="P264" s="40"/>
      <x:c r="Q264" s="40"/>
      <x:c r="U264" s="42"/>
    </x:row>
    <x:row r="265">
      <x:c r="B265" s="40"/>
      <x:c r="M265" s="42"/>
      <x:c r="N265" s="42" t="str">
        <x:f>IF(OR(L265="",M265=""),"",L265*M265)</x:f>
      </x:c>
      <x:c r="O265" s="40"/>
      <x:c r="P265" s="40"/>
      <x:c r="Q265" s="40"/>
      <x:c r="U265" s="42"/>
    </x:row>
    <x:row r="266">
      <x:c r="B266" s="40"/>
      <x:c r="M266" s="42"/>
      <x:c r="N266" s="42" t="str">
        <x:f>IF(OR(L266="",M266=""),"",L266*M266)</x:f>
      </x:c>
      <x:c r="O266" s="40"/>
      <x:c r="P266" s="40"/>
      <x:c r="Q266" s="40"/>
      <x:c r="U266" s="42"/>
    </x:row>
    <x:row r="267">
      <x:c r="B267" s="40"/>
      <x:c r="M267" s="42"/>
      <x:c r="N267" s="42" t="str">
        <x:f>IF(OR(L267="",M267=""),"",L267*M267)</x:f>
      </x:c>
      <x:c r="O267" s="40"/>
      <x:c r="P267" s="40"/>
      <x:c r="Q267" s="40"/>
      <x:c r="U267" s="42"/>
    </x:row>
    <x:row r="268">
      <x:c r="B268" s="40"/>
      <x:c r="M268" s="42"/>
      <x:c r="N268" s="42" t="str">
        <x:f>IF(OR(L268="",M268=""),"",L268*M268)</x:f>
      </x:c>
      <x:c r="O268" s="40"/>
      <x:c r="P268" s="40"/>
      <x:c r="Q268" s="40"/>
      <x:c r="U268" s="42"/>
    </x:row>
    <x:row r="269">
      <x:c r="B269" s="40"/>
      <x:c r="M269" s="42"/>
      <x:c r="N269" s="42" t="str">
        <x:f>IF(OR(L269="",M269=""),"",L269*M269)</x:f>
      </x:c>
      <x:c r="O269" s="40"/>
      <x:c r="P269" s="40"/>
      <x:c r="Q269" s="40"/>
      <x:c r="U269" s="42"/>
    </x:row>
    <x:row r="270">
      <x:c r="B270" s="40"/>
      <x:c r="M270" s="42"/>
      <x:c r="N270" s="42" t="str">
        <x:f>IF(OR(L270="",M270=""),"",L270*M270)</x:f>
      </x:c>
      <x:c r="O270" s="40"/>
      <x:c r="P270" s="40"/>
      <x:c r="Q270" s="40"/>
      <x:c r="U270" s="42"/>
    </x:row>
    <x:row r="271">
      <x:c r="B271" s="40"/>
      <x:c r="M271" s="42"/>
      <x:c r="N271" s="42" t="str">
        <x:f>IF(OR(L271="",M271=""),"",L271*M271)</x:f>
      </x:c>
      <x:c r="O271" s="40"/>
      <x:c r="P271" s="40"/>
      <x:c r="Q271" s="40"/>
      <x:c r="U271" s="42"/>
    </x:row>
    <x:row r="272">
      <x:c r="B272" s="40"/>
      <x:c r="M272" s="42"/>
      <x:c r="N272" s="42" t="str">
        <x:f>IF(OR(L272="",M272=""),"",L272*M272)</x:f>
      </x:c>
      <x:c r="O272" s="40"/>
      <x:c r="P272" s="40"/>
      <x:c r="Q272" s="40"/>
      <x:c r="U272" s="42"/>
    </x:row>
    <x:row r="273">
      <x:c r="B273" s="40"/>
      <x:c r="M273" s="42"/>
      <x:c r="N273" s="42" t="str">
        <x:f>IF(OR(L273="",M273=""),"",L273*M273)</x:f>
      </x:c>
      <x:c r="O273" s="40"/>
      <x:c r="P273" s="40"/>
      <x:c r="Q273" s="40"/>
      <x:c r="U273" s="42"/>
    </x:row>
    <x:row r="274">
      <x:c r="B274" s="40"/>
      <x:c r="M274" s="42"/>
      <x:c r="N274" s="42" t="str">
        <x:f>IF(OR(L274="",M274=""),"",L274*M274)</x:f>
      </x:c>
      <x:c r="O274" s="40"/>
      <x:c r="P274" s="40"/>
      <x:c r="Q274" s="40"/>
      <x:c r="U274" s="42"/>
    </x:row>
    <x:row r="275">
      <x:c r="B275" s="40"/>
      <x:c r="M275" s="42"/>
      <x:c r="N275" s="42" t="str">
        <x:f>IF(OR(L275="",M275=""),"",L275*M275)</x:f>
      </x:c>
      <x:c r="O275" s="40"/>
      <x:c r="P275" s="40"/>
      <x:c r="Q275" s="40"/>
      <x:c r="U275" s="42"/>
    </x:row>
    <x:row r="276">
      <x:c r="B276" s="40"/>
      <x:c r="M276" s="42"/>
      <x:c r="N276" s="42" t="str">
        <x:f>IF(OR(L276="",M276=""),"",L276*M276)</x:f>
      </x:c>
      <x:c r="O276" s="40"/>
      <x:c r="P276" s="40"/>
      <x:c r="Q276" s="40"/>
      <x:c r="U276" s="42"/>
    </x:row>
    <x:row r="277">
      <x:c r="B277" s="40"/>
      <x:c r="M277" s="42"/>
      <x:c r="N277" s="42" t="str">
        <x:f>IF(OR(L277="",M277=""),"",L277*M277)</x:f>
      </x:c>
      <x:c r="O277" s="40"/>
      <x:c r="P277" s="40"/>
      <x:c r="Q277" s="40"/>
      <x:c r="U277" s="42"/>
    </x:row>
    <x:row r="278">
      <x:c r="B278" s="40"/>
      <x:c r="M278" s="42"/>
      <x:c r="N278" s="42" t="str">
        <x:f>IF(OR(L278="",M278=""),"",L278*M278)</x:f>
      </x:c>
      <x:c r="O278" s="40"/>
      <x:c r="P278" s="40"/>
      <x:c r="Q278" s="40"/>
      <x:c r="U278" s="42"/>
    </x:row>
    <x:row r="279">
      <x:c r="B279" s="40"/>
      <x:c r="M279" s="42"/>
      <x:c r="N279" s="42" t="str">
        <x:f>IF(OR(L279="",M279=""),"",L279*M279)</x:f>
      </x:c>
      <x:c r="O279" s="40"/>
      <x:c r="P279" s="40"/>
      <x:c r="Q279" s="40"/>
      <x:c r="U279" s="42"/>
    </x:row>
    <x:row r="280">
      <x:c r="B280" s="40"/>
      <x:c r="M280" s="42"/>
      <x:c r="N280" s="42" t="str">
        <x:f>IF(OR(L280="",M280=""),"",L280*M280)</x:f>
      </x:c>
      <x:c r="O280" s="40"/>
      <x:c r="P280" s="40"/>
      <x:c r="Q280" s="40"/>
      <x:c r="U280" s="42"/>
    </x:row>
    <x:row r="281">
      <x:c r="B281" s="40"/>
      <x:c r="M281" s="42"/>
      <x:c r="N281" s="42" t="str">
        <x:f>IF(OR(L281="",M281=""),"",L281*M281)</x:f>
      </x:c>
      <x:c r="O281" s="40"/>
      <x:c r="P281" s="40"/>
      <x:c r="Q281" s="40"/>
      <x:c r="U281" s="42"/>
    </x:row>
    <x:row r="282">
      <x:c r="B282" s="40"/>
      <x:c r="M282" s="42"/>
      <x:c r="N282" s="42" t="str">
        <x:f>IF(OR(L282="",M282=""),"",L282*M282)</x:f>
      </x:c>
      <x:c r="O282" s="40"/>
      <x:c r="P282" s="40"/>
      <x:c r="Q282" s="40"/>
      <x:c r="U282" s="42"/>
    </x:row>
    <x:row r="283">
      <x:c r="B283" s="40"/>
      <x:c r="M283" s="42"/>
      <x:c r="N283" s="42" t="str">
        <x:f>IF(OR(L283="",M283=""),"",L283*M283)</x:f>
      </x:c>
      <x:c r="O283" s="40"/>
      <x:c r="P283" s="40"/>
      <x:c r="Q283" s="40"/>
      <x:c r="U283" s="42"/>
    </x:row>
    <x:row r="284">
      <x:c r="B284" s="40"/>
      <x:c r="M284" s="42"/>
      <x:c r="N284" s="42" t="str">
        <x:f>IF(OR(L284="",M284=""),"",L284*M284)</x:f>
      </x:c>
      <x:c r="O284" s="40"/>
      <x:c r="P284" s="40"/>
      <x:c r="Q284" s="40"/>
      <x:c r="U284" s="42"/>
    </x:row>
    <x:row r="285">
      <x:c r="B285" s="40"/>
      <x:c r="M285" s="42"/>
      <x:c r="N285" s="42" t="str">
        <x:f>IF(OR(L285="",M285=""),"",L285*M285)</x:f>
      </x:c>
      <x:c r="O285" s="40"/>
      <x:c r="P285" s="40"/>
      <x:c r="Q285" s="40"/>
      <x:c r="U285" s="42"/>
    </x:row>
    <x:row r="286">
      <x:c r="B286" s="40"/>
      <x:c r="M286" s="42"/>
      <x:c r="N286" s="42" t="str">
        <x:f>IF(OR(L286="",M286=""),"",L286*M286)</x:f>
      </x:c>
      <x:c r="O286" s="40"/>
      <x:c r="P286" s="40"/>
      <x:c r="Q286" s="40"/>
      <x:c r="U286" s="42"/>
    </x:row>
    <x:row r="287">
      <x:c r="B287" s="40"/>
      <x:c r="M287" s="42"/>
      <x:c r="N287" s="42" t="str">
        <x:f>IF(OR(L287="",M287=""),"",L287*M287)</x:f>
      </x:c>
      <x:c r="O287" s="40"/>
      <x:c r="P287" s="40"/>
      <x:c r="Q287" s="40"/>
      <x:c r="U287" s="42"/>
    </x:row>
    <x:row r="288">
      <x:c r="B288" s="40"/>
      <x:c r="M288" s="42"/>
      <x:c r="N288" s="42" t="str">
        <x:f>IF(OR(L288="",M288=""),"",L288*M288)</x:f>
      </x:c>
      <x:c r="O288" s="40"/>
      <x:c r="P288" s="40"/>
      <x:c r="Q288" s="40"/>
      <x:c r="U288" s="42"/>
    </x:row>
    <x:row r="289">
      <x:c r="B289" s="40"/>
      <x:c r="M289" s="42"/>
      <x:c r="N289" s="42" t="str">
        <x:f>IF(OR(L289="",M289=""),"",L289*M289)</x:f>
      </x:c>
      <x:c r="O289" s="40"/>
      <x:c r="P289" s="40"/>
      <x:c r="Q289" s="40"/>
      <x:c r="U289" s="42"/>
    </x:row>
    <x:row r="290">
      <x:c r="B290" s="40"/>
      <x:c r="M290" s="42"/>
      <x:c r="N290" s="42" t="str">
        <x:f>IF(OR(L290="",M290=""),"",L290*M290)</x:f>
      </x:c>
      <x:c r="O290" s="40"/>
      <x:c r="P290" s="40"/>
      <x:c r="Q290" s="40"/>
      <x:c r="U290" s="42"/>
    </x:row>
    <x:row r="291">
      <x:c r="B291" s="40"/>
      <x:c r="M291" s="42"/>
      <x:c r="N291" s="42" t="str">
        <x:f>IF(OR(L291="",M291=""),"",L291*M291)</x:f>
      </x:c>
      <x:c r="O291" s="40"/>
      <x:c r="P291" s="40"/>
      <x:c r="Q291" s="40"/>
      <x:c r="U291" s="42"/>
    </x:row>
    <x:row r="292">
      <x:c r="B292" s="40"/>
      <x:c r="M292" s="42"/>
      <x:c r="N292" s="42" t="str">
        <x:f>IF(OR(L292="",M292=""),"",L292*M292)</x:f>
      </x:c>
      <x:c r="O292" s="40"/>
      <x:c r="P292" s="40"/>
      <x:c r="Q292" s="40"/>
      <x:c r="U292" s="42"/>
    </x:row>
    <x:row r="293">
      <x:c r="B293" s="40"/>
      <x:c r="M293" s="42"/>
      <x:c r="N293" s="42" t="str">
        <x:f>IF(OR(L293="",M293=""),"",L293*M293)</x:f>
      </x:c>
      <x:c r="O293" s="40"/>
      <x:c r="P293" s="40"/>
      <x:c r="Q293" s="40"/>
      <x:c r="U293" s="42"/>
    </x:row>
    <x:row r="294">
      <x:c r="B294" s="40"/>
      <x:c r="M294" s="42"/>
      <x:c r="N294" s="42" t="str">
        <x:f>IF(OR(L294="",M294=""),"",L294*M294)</x:f>
      </x:c>
      <x:c r="O294" s="40"/>
      <x:c r="P294" s="40"/>
      <x:c r="Q294" s="40"/>
      <x:c r="U294" s="42"/>
    </x:row>
    <x:row r="295">
      <x:c r="B295" s="40"/>
      <x:c r="M295" s="42"/>
      <x:c r="N295" s="42" t="str">
        <x:f>IF(OR(L295="",M295=""),"",L295*M295)</x:f>
      </x:c>
      <x:c r="O295" s="40"/>
      <x:c r="P295" s="40"/>
      <x:c r="Q295" s="40"/>
      <x:c r="U295" s="42"/>
    </x:row>
    <x:row r="296">
      <x:c r="B296" s="40"/>
      <x:c r="M296" s="42"/>
      <x:c r="N296" s="42" t="str">
        <x:f>IF(OR(L296="",M296=""),"",L296*M296)</x:f>
      </x:c>
      <x:c r="O296" s="40"/>
      <x:c r="P296" s="40"/>
      <x:c r="Q296" s="40"/>
      <x:c r="U296" s="42"/>
    </x:row>
    <x:row r="297">
      <x:c r="B297" s="40"/>
      <x:c r="M297" s="42"/>
      <x:c r="N297" s="42" t="str">
        <x:f>IF(OR(L297="",M297=""),"",L297*M297)</x:f>
      </x:c>
      <x:c r="O297" s="40"/>
      <x:c r="P297" s="40"/>
      <x:c r="Q297" s="40"/>
      <x:c r="U297" s="42"/>
    </x:row>
    <x:row r="298">
      <x:c r="B298" s="40"/>
      <x:c r="M298" s="42"/>
      <x:c r="N298" s="42" t="str">
        <x:f>IF(OR(L298="",M298=""),"",L298*M298)</x:f>
      </x:c>
      <x:c r="O298" s="40"/>
      <x:c r="P298" s="40"/>
      <x:c r="Q298" s="40"/>
      <x:c r="U298" s="42"/>
    </x:row>
    <x:row r="299">
      <x:c r="B299" s="40"/>
      <x:c r="M299" s="42"/>
      <x:c r="N299" s="42" t="str">
        <x:f>IF(OR(L299="",M299=""),"",L299*M299)</x:f>
      </x:c>
      <x:c r="O299" s="40"/>
      <x:c r="P299" s="40"/>
      <x:c r="Q299" s="40"/>
      <x:c r="U299" s="42"/>
    </x:row>
    <x:row r="300">
      <x:c r="B300" s="40"/>
      <x:c r="M300" s="42"/>
      <x:c r="N300" s="42" t="str">
        <x:f>IF(OR(L300="",M300=""),"",L300*M300)</x:f>
      </x:c>
      <x:c r="O300" s="40"/>
      <x:c r="P300" s="40"/>
      <x:c r="Q300" s="40"/>
      <x:c r="U300" s="42"/>
    </x:row>
    <x:row r="301">
      <x:c r="B301" s="40"/>
      <x:c r="M301" s="42"/>
      <x:c r="N301" s="42" t="str">
        <x:f>IF(OR(L301="",M301=""),"",L301*M301)</x:f>
      </x:c>
      <x:c r="O301" s="40"/>
      <x:c r="P301" s="40"/>
      <x:c r="Q301" s="40"/>
      <x:c r="U301" s="42"/>
    </x:row>
    <x:row r="302">
      <x:c r="B302" s="40"/>
      <x:c r="M302" s="42"/>
      <x:c r="N302" s="42" t="str">
        <x:f>IF(OR(L302="",M302=""),"",L302*M302)</x:f>
      </x:c>
      <x:c r="O302" s="40"/>
      <x:c r="P302" s="40"/>
      <x:c r="Q302" s="40"/>
      <x:c r="U302" s="42"/>
    </x:row>
    <x:row r="303">
      <x:c r="B303" s="40"/>
      <x:c r="M303" s="42"/>
      <x:c r="N303" s="42" t="str">
        <x:f>IF(OR(L303="",M303=""),"",L303*M303)</x:f>
      </x:c>
      <x:c r="O303" s="40"/>
      <x:c r="P303" s="40"/>
      <x:c r="Q303" s="40"/>
      <x:c r="U303" s="42"/>
    </x:row>
    <x:row r="304">
      <x:c r="B304" s="40"/>
      <x:c r="M304" s="42"/>
      <x:c r="N304" s="42" t="str">
        <x:f>IF(OR(L304="",M304=""),"",L304*M304)</x:f>
      </x:c>
      <x:c r="O304" s="40"/>
      <x:c r="P304" s="40"/>
      <x:c r="Q304" s="40"/>
      <x:c r="U304" s="42"/>
    </x:row>
    <x:row r="305">
      <x:c r="B305" s="40"/>
      <x:c r="M305" s="42"/>
      <x:c r="N305" s="42" t="str">
        <x:f>IF(OR(L305="",M305=""),"",L305*M305)</x:f>
      </x:c>
      <x:c r="O305" s="40"/>
      <x:c r="P305" s="40"/>
      <x:c r="Q305" s="40"/>
      <x:c r="U305" s="42"/>
    </x:row>
    <x:row r="306">
      <x:c r="B306" s="40"/>
      <x:c r="M306" s="42"/>
      <x:c r="N306" s="42" t="str">
        <x:f>IF(OR(L306="",M306=""),"",L306*M306)</x:f>
      </x:c>
      <x:c r="O306" s="40"/>
      <x:c r="P306" s="40"/>
      <x:c r="Q306" s="40"/>
      <x:c r="U306" s="42"/>
    </x:row>
    <x:row r="307">
      <x:c r="B307" s="40"/>
      <x:c r="M307" s="42"/>
      <x:c r="N307" s="42" t="str">
        <x:f>IF(OR(L307="",M307=""),"",L307*M307)</x:f>
      </x:c>
      <x:c r="O307" s="40"/>
      <x:c r="P307" s="40"/>
      <x:c r="Q307" s="40"/>
      <x:c r="U307" s="42"/>
    </x:row>
    <x:row r="308">
      <x:c r="B308" s="40"/>
      <x:c r="M308" s="42"/>
      <x:c r="N308" s="42" t="str">
        <x:f>IF(OR(L308="",M308=""),"",L308*M308)</x:f>
      </x:c>
      <x:c r="O308" s="40"/>
      <x:c r="P308" s="40"/>
      <x:c r="Q308" s="40"/>
      <x:c r="U308" s="42"/>
    </x:row>
    <x:row r="309">
      <x:c r="B309" s="40"/>
      <x:c r="M309" s="42"/>
      <x:c r="N309" s="42" t="str">
        <x:f>IF(OR(L309="",M309=""),"",L309*M309)</x:f>
      </x:c>
      <x:c r="O309" s="40"/>
      <x:c r="P309" s="40"/>
      <x:c r="Q309" s="40"/>
      <x:c r="U309" s="42"/>
    </x:row>
    <x:row r="310">
      <x:c r="B310" s="40"/>
      <x:c r="M310" s="42"/>
      <x:c r="N310" s="42" t="str">
        <x:f>IF(OR(L310="",M310=""),"",L310*M310)</x:f>
      </x:c>
      <x:c r="O310" s="40"/>
      <x:c r="P310" s="40"/>
      <x:c r="Q310" s="40"/>
      <x:c r="U310" s="42"/>
    </x:row>
    <x:row r="311">
      <x:c r="B311" s="40"/>
      <x:c r="M311" s="42"/>
      <x:c r="N311" s="42" t="str">
        <x:f>IF(OR(L311="",M311=""),"",L311*M311)</x:f>
      </x:c>
      <x:c r="O311" s="40"/>
      <x:c r="P311" s="40"/>
      <x:c r="Q311" s="40"/>
      <x:c r="U311" s="42"/>
    </x:row>
    <x:row r="312">
      <x:c r="B312" s="40"/>
      <x:c r="M312" s="42"/>
      <x:c r="N312" s="42" t="str">
        <x:f>IF(OR(L312="",M312=""),"",L312*M312)</x:f>
      </x:c>
      <x:c r="O312" s="40"/>
      <x:c r="P312" s="40"/>
      <x:c r="Q312" s="40"/>
      <x:c r="U312" s="42"/>
    </x:row>
    <x:row r="313">
      <x:c r="B313" s="40"/>
      <x:c r="M313" s="42"/>
      <x:c r="N313" s="42" t="str">
        <x:f>IF(OR(L313="",M313=""),"",L313*M313)</x:f>
      </x:c>
      <x:c r="O313" s="40"/>
      <x:c r="P313" s="40"/>
      <x:c r="Q313" s="40"/>
      <x:c r="U313" s="42"/>
    </x:row>
    <x:row r="314">
      <x:c r="B314" s="40"/>
      <x:c r="M314" s="42"/>
      <x:c r="N314" s="42" t="str">
        <x:f>IF(OR(L314="",M314=""),"",L314*M314)</x:f>
      </x:c>
      <x:c r="O314" s="40"/>
      <x:c r="P314" s="40"/>
      <x:c r="Q314" s="40"/>
      <x:c r="U314" s="42"/>
    </x:row>
    <x:row r="315">
      <x:c r="B315" s="40"/>
      <x:c r="M315" s="42"/>
      <x:c r="N315" s="42" t="str">
        <x:f>IF(OR(L315="",M315=""),"",L315*M315)</x:f>
      </x:c>
      <x:c r="O315" s="40"/>
      <x:c r="P315" s="40"/>
      <x:c r="Q315" s="40"/>
      <x:c r="U315" s="42"/>
    </x:row>
    <x:row r="316">
      <x:c r="B316" s="40"/>
      <x:c r="M316" s="42"/>
      <x:c r="N316" s="42" t="str">
        <x:f>IF(OR(L316="",M316=""),"",L316*M316)</x:f>
      </x:c>
      <x:c r="O316" s="40"/>
      <x:c r="P316" s="40"/>
      <x:c r="Q316" s="40"/>
      <x:c r="U316" s="42"/>
    </x:row>
    <x:row r="317">
      <x:c r="B317" s="40"/>
      <x:c r="M317" s="42"/>
      <x:c r="N317" s="42" t="str">
        <x:f>IF(OR(L317="",M317=""),"",L317*M317)</x:f>
      </x:c>
      <x:c r="O317" s="40"/>
      <x:c r="P317" s="40"/>
      <x:c r="Q317" s="40"/>
      <x:c r="U317" s="42"/>
    </x:row>
    <x:row r="318">
      <x:c r="B318" s="40"/>
      <x:c r="M318" s="42"/>
      <x:c r="N318" s="42" t="str">
        <x:f>IF(OR(L318="",M318=""),"",L318*M318)</x:f>
      </x:c>
      <x:c r="O318" s="40"/>
      <x:c r="P318" s="40"/>
      <x:c r="Q318" s="40"/>
      <x:c r="U318" s="42"/>
    </x:row>
    <x:row r="319">
      <x:c r="B319" s="40"/>
      <x:c r="M319" s="42"/>
      <x:c r="N319" s="42" t="str">
        <x:f>IF(OR(L319="",M319=""),"",L319*M319)</x:f>
      </x:c>
      <x:c r="O319" s="40"/>
      <x:c r="P319" s="40"/>
      <x:c r="Q319" s="40"/>
      <x:c r="U319" s="42"/>
    </x:row>
    <x:row r="320">
      <x:c r="B320" s="40"/>
      <x:c r="M320" s="42"/>
      <x:c r="N320" s="42" t="str">
        <x:f>IF(OR(L320="",M320=""),"",L320*M320)</x:f>
      </x:c>
      <x:c r="O320" s="40"/>
      <x:c r="P320" s="40"/>
      <x:c r="Q320" s="40"/>
      <x:c r="U320" s="42"/>
    </x:row>
    <x:row r="321">
      <x:c r="B321" s="40"/>
      <x:c r="M321" s="42"/>
      <x:c r="N321" s="42" t="str">
        <x:f>IF(OR(L321="",M321=""),"",L321*M321)</x:f>
      </x:c>
      <x:c r="O321" s="40"/>
      <x:c r="P321" s="40"/>
      <x:c r="Q321" s="40"/>
      <x:c r="U321" s="42"/>
    </x:row>
    <x:row r="322">
      <x:c r="B322" s="40"/>
      <x:c r="M322" s="42"/>
      <x:c r="N322" s="42" t="str">
        <x:f>IF(OR(L322="",M322=""),"",L322*M322)</x:f>
      </x:c>
      <x:c r="O322" s="40"/>
      <x:c r="P322" s="40"/>
      <x:c r="Q322" s="40"/>
      <x:c r="U322" s="42"/>
    </x:row>
    <x:row r="323">
      <x:c r="B323" s="40"/>
      <x:c r="M323" s="42"/>
      <x:c r="N323" s="42" t="str">
        <x:f>IF(OR(L323="",M323=""),"",L323*M323)</x:f>
      </x:c>
      <x:c r="O323" s="40"/>
      <x:c r="P323" s="40"/>
      <x:c r="Q323" s="40"/>
      <x:c r="U323" s="42"/>
    </x:row>
    <x:row r="324">
      <x:c r="B324" s="40"/>
      <x:c r="M324" s="42"/>
      <x:c r="N324" s="42" t="str">
        <x:f>IF(OR(L324="",M324=""),"",L324*M324)</x:f>
      </x:c>
      <x:c r="O324" s="40"/>
      <x:c r="P324" s="40"/>
      <x:c r="Q324" s="40"/>
      <x:c r="U324" s="42"/>
    </x:row>
    <x:row r="325">
      <x:c r="B325" s="40"/>
      <x:c r="M325" s="42"/>
      <x:c r="N325" s="42" t="str">
        <x:f>IF(OR(L325="",M325=""),"",L325*M325)</x:f>
      </x:c>
      <x:c r="O325" s="40"/>
      <x:c r="P325" s="40"/>
      <x:c r="Q325" s="40"/>
      <x:c r="U325" s="42"/>
    </x:row>
    <x:row r="326">
      <x:c r="B326" s="40"/>
      <x:c r="M326" s="42"/>
      <x:c r="N326" s="42" t="str">
        <x:f>IF(OR(L326="",M326=""),"",L326*M326)</x:f>
      </x:c>
      <x:c r="O326" s="40"/>
      <x:c r="P326" s="40"/>
      <x:c r="Q326" s="40"/>
      <x:c r="U326" s="42"/>
    </x:row>
    <x:row r="327">
      <x:c r="B327" s="40"/>
      <x:c r="M327" s="42"/>
      <x:c r="N327" s="42" t="str">
        <x:f>IF(OR(L327="",M327=""),"",L327*M327)</x:f>
      </x:c>
      <x:c r="O327" s="40"/>
      <x:c r="P327" s="40"/>
      <x:c r="Q327" s="40"/>
      <x:c r="U327" s="42"/>
    </x:row>
    <x:row r="328">
      <x:c r="B328" s="40"/>
      <x:c r="M328" s="42"/>
      <x:c r="N328" s="42" t="str">
        <x:f>IF(OR(L328="",M328=""),"",L328*M328)</x:f>
      </x:c>
      <x:c r="O328" s="40"/>
      <x:c r="P328" s="40"/>
      <x:c r="Q328" s="40"/>
      <x:c r="U328" s="42"/>
    </x:row>
    <x:row r="329">
      <x:c r="B329" s="40"/>
      <x:c r="M329" s="42"/>
      <x:c r="N329" s="42" t="str">
        <x:f>IF(OR(L329="",M329=""),"",L329*M329)</x:f>
      </x:c>
      <x:c r="O329" s="40"/>
      <x:c r="P329" s="40"/>
      <x:c r="Q329" s="40"/>
      <x:c r="U329" s="42"/>
    </x:row>
    <x:row r="330">
      <x:c r="B330" s="40"/>
      <x:c r="M330" s="42"/>
      <x:c r="N330" s="42" t="str">
        <x:f>IF(OR(L330="",M330=""),"",L330*M330)</x:f>
      </x:c>
      <x:c r="O330" s="40"/>
      <x:c r="P330" s="40"/>
      <x:c r="Q330" s="40"/>
      <x:c r="U330" s="42"/>
    </x:row>
    <x:row r="331">
      <x:c r="B331" s="40"/>
      <x:c r="M331" s="42"/>
      <x:c r="N331" s="42" t="str">
        <x:f>IF(OR(L331="",M331=""),"",L331*M331)</x:f>
      </x:c>
      <x:c r="O331" s="40"/>
      <x:c r="P331" s="40"/>
      <x:c r="Q331" s="40"/>
      <x:c r="U331" s="42"/>
    </x:row>
    <x:row r="332">
      <x:c r="B332" s="40"/>
      <x:c r="M332" s="42"/>
      <x:c r="N332" s="42" t="str">
        <x:f>IF(OR(L332="",M332=""),"",L332*M332)</x:f>
      </x:c>
      <x:c r="O332" s="40"/>
      <x:c r="P332" s="40"/>
      <x:c r="Q332" s="40"/>
      <x:c r="U332" s="42"/>
    </x:row>
    <x:row r="333">
      <x:c r="B333" s="40"/>
      <x:c r="M333" s="42"/>
      <x:c r="N333" s="42" t="str">
        <x:f>IF(OR(L333="",M333=""),"",L333*M333)</x:f>
      </x:c>
      <x:c r="O333" s="40"/>
      <x:c r="P333" s="40"/>
      <x:c r="Q333" s="40"/>
      <x:c r="U333" s="42"/>
    </x:row>
    <x:row r="334">
      <x:c r="B334" s="40"/>
      <x:c r="M334" s="42"/>
      <x:c r="N334" s="42" t="str">
        <x:f>IF(OR(L334="",M334=""),"",L334*M334)</x:f>
      </x:c>
      <x:c r="O334" s="40"/>
      <x:c r="P334" s="40"/>
      <x:c r="Q334" s="40"/>
      <x:c r="U334" s="42"/>
    </x:row>
    <x:row r="335">
      <x:c r="B335" s="40"/>
      <x:c r="M335" s="42"/>
      <x:c r="N335" s="42" t="str">
        <x:f>IF(OR(L335="",M335=""),"",L335*M335)</x:f>
      </x:c>
      <x:c r="O335" s="40"/>
      <x:c r="P335" s="40"/>
      <x:c r="Q335" s="40"/>
      <x:c r="U335" s="42"/>
    </x:row>
    <x:row r="336">
      <x:c r="B336" s="40"/>
      <x:c r="M336" s="42"/>
      <x:c r="N336" s="42" t="str">
        <x:f>IF(OR(L336="",M336=""),"",L336*M336)</x:f>
      </x:c>
      <x:c r="O336" s="40"/>
      <x:c r="P336" s="40"/>
      <x:c r="Q336" s="40"/>
      <x:c r="U336" s="42"/>
    </x:row>
    <x:row r="337">
      <x:c r="B337" s="40"/>
      <x:c r="M337" s="42"/>
      <x:c r="N337" s="42" t="str">
        <x:f>IF(OR(L337="",M337=""),"",L337*M337)</x:f>
      </x:c>
      <x:c r="O337" s="40"/>
      <x:c r="P337" s="40"/>
      <x:c r="Q337" s="40"/>
      <x:c r="U337" s="42"/>
    </x:row>
    <x:row r="338">
      <x:c r="B338" s="40"/>
      <x:c r="M338" s="42"/>
      <x:c r="N338" s="42" t="str">
        <x:f>IF(OR(L338="",M338=""),"",L338*M338)</x:f>
      </x:c>
      <x:c r="O338" s="40"/>
      <x:c r="P338" s="40"/>
      <x:c r="Q338" s="40"/>
      <x:c r="U338" s="42"/>
    </x:row>
    <x:row r="339">
      <x:c r="B339" s="40"/>
      <x:c r="M339" s="42"/>
      <x:c r="N339" s="42" t="str">
        <x:f>IF(OR(L339="",M339=""),"",L339*M339)</x:f>
      </x:c>
      <x:c r="O339" s="40"/>
      <x:c r="P339" s="40"/>
      <x:c r="Q339" s="40"/>
      <x:c r="U339" s="42"/>
    </x:row>
    <x:row r="340">
      <x:c r="B340" s="40"/>
      <x:c r="M340" s="42"/>
      <x:c r="N340" s="42" t="str">
        <x:f>IF(OR(L340="",M340=""),"",L340*M340)</x:f>
      </x:c>
      <x:c r="O340" s="40"/>
      <x:c r="P340" s="40"/>
      <x:c r="Q340" s="40"/>
      <x:c r="U340" s="42"/>
    </x:row>
    <x:row r="341">
      <x:c r="B341" s="40"/>
      <x:c r="M341" s="42"/>
      <x:c r="N341" s="42" t="str">
        <x:f>IF(OR(L341="",M341=""),"",L341*M341)</x:f>
      </x:c>
      <x:c r="O341" s="40"/>
      <x:c r="P341" s="40"/>
      <x:c r="Q341" s="40"/>
      <x:c r="U341" s="42"/>
    </x:row>
    <x:row r="342">
      <x:c r="B342" s="40"/>
      <x:c r="M342" s="42"/>
      <x:c r="N342" s="42" t="str">
        <x:f>IF(OR(L342="",M342=""),"",L342*M342)</x:f>
      </x:c>
      <x:c r="O342" s="40"/>
      <x:c r="P342" s="40"/>
      <x:c r="Q342" s="40"/>
      <x:c r="U342" s="42"/>
    </x:row>
    <x:row r="343">
      <x:c r="B343" s="40"/>
      <x:c r="M343" s="42"/>
      <x:c r="N343" s="42" t="str">
        <x:f>IF(OR(L343="",M343=""),"",L343*M343)</x:f>
      </x:c>
      <x:c r="O343" s="40"/>
      <x:c r="P343" s="40"/>
      <x:c r="Q343" s="40"/>
      <x:c r="U343" s="42"/>
    </x:row>
    <x:row r="344">
      <x:c r="B344" s="40"/>
      <x:c r="M344" s="42"/>
      <x:c r="N344" s="42" t="str">
        <x:f>IF(OR(L344="",M344=""),"",L344*M344)</x:f>
      </x:c>
      <x:c r="O344" s="40"/>
      <x:c r="P344" s="40"/>
      <x:c r="Q344" s="40"/>
      <x:c r="U344" s="42"/>
    </x:row>
    <x:row r="345">
      <x:c r="B345" s="40"/>
      <x:c r="M345" s="42"/>
      <x:c r="N345" s="42" t="str">
        <x:f>IF(OR(L345="",M345=""),"",L345*M345)</x:f>
      </x:c>
      <x:c r="O345" s="40"/>
      <x:c r="P345" s="40"/>
      <x:c r="Q345" s="40"/>
      <x:c r="U345" s="42"/>
    </x:row>
    <x:row r="346">
      <x:c r="B346" s="40"/>
      <x:c r="M346" s="42"/>
      <x:c r="N346" s="42" t="str">
        <x:f>IF(OR(L346="",M346=""),"",L346*M346)</x:f>
      </x:c>
      <x:c r="O346" s="40"/>
      <x:c r="P346" s="40"/>
      <x:c r="Q346" s="40"/>
      <x:c r="U346" s="42"/>
    </x:row>
    <x:row r="347">
      <x:c r="B347" s="40"/>
      <x:c r="M347" s="42"/>
      <x:c r="N347" s="42" t="str">
        <x:f>IF(OR(L347="",M347=""),"",L347*M347)</x:f>
      </x:c>
      <x:c r="O347" s="40"/>
      <x:c r="P347" s="40"/>
      <x:c r="Q347" s="40"/>
      <x:c r="U347" s="42"/>
    </x:row>
    <x:row r="348">
      <x:c r="B348" s="40"/>
      <x:c r="M348" s="42"/>
      <x:c r="N348" s="42" t="str">
        <x:f>IF(OR(L348="",M348=""),"",L348*M348)</x:f>
      </x:c>
      <x:c r="O348" s="40"/>
      <x:c r="P348" s="40"/>
      <x:c r="Q348" s="40"/>
      <x:c r="U348" s="42"/>
    </x:row>
    <x:row r="349">
      <x:c r="B349" s="40"/>
      <x:c r="M349" s="42"/>
      <x:c r="N349" s="42" t="str">
        <x:f>IF(OR(L349="",M349=""),"",L349*M349)</x:f>
      </x:c>
      <x:c r="O349" s="40"/>
      <x:c r="P349" s="40"/>
      <x:c r="Q349" s="40"/>
      <x:c r="U349" s="42"/>
    </x:row>
    <x:row r="350">
      <x:c r="B350" s="40"/>
      <x:c r="M350" s="42"/>
      <x:c r="N350" s="42" t="str">
        <x:f>IF(OR(L350="",M350=""),"",L350*M350)</x:f>
      </x:c>
      <x:c r="O350" s="40"/>
      <x:c r="P350" s="40"/>
      <x:c r="Q350" s="40"/>
      <x:c r="U350" s="42"/>
    </x:row>
    <x:row r="351">
      <x:c r="B351" s="40"/>
      <x:c r="M351" s="42"/>
      <x:c r="N351" s="42" t="str">
        <x:f>IF(OR(L351="",M351=""),"",L351*M351)</x:f>
      </x:c>
      <x:c r="O351" s="40"/>
      <x:c r="P351" s="40"/>
      <x:c r="Q351" s="40"/>
      <x:c r="U351" s="42"/>
    </x:row>
    <x:row r="352">
      <x:c r="B352" s="40"/>
      <x:c r="M352" s="42"/>
      <x:c r="N352" s="42" t="str">
        <x:f>IF(OR(L352="",M352=""),"",L352*M352)</x:f>
      </x:c>
      <x:c r="O352" s="40"/>
      <x:c r="P352" s="40"/>
      <x:c r="Q352" s="40"/>
      <x:c r="U352" s="42"/>
    </x:row>
    <x:row r="353">
      <x:c r="B353" s="40"/>
      <x:c r="M353" s="42"/>
      <x:c r="N353" s="42" t="str">
        <x:f>IF(OR(L353="",M353=""),"",L353*M353)</x:f>
      </x:c>
      <x:c r="O353" s="40"/>
      <x:c r="P353" s="40"/>
      <x:c r="Q353" s="40"/>
      <x:c r="U353" s="42"/>
    </x:row>
    <x:row r="354">
      <x:c r="B354" s="40"/>
      <x:c r="M354" s="42"/>
      <x:c r="N354" s="42" t="str">
        <x:f>IF(OR(L354="",M354=""),"",L354*M354)</x:f>
      </x:c>
      <x:c r="O354" s="40"/>
      <x:c r="P354" s="40"/>
      <x:c r="Q354" s="40"/>
      <x:c r="U354" s="42"/>
    </x:row>
    <x:row r="355">
      <x:c r="B355" s="40"/>
      <x:c r="M355" s="42"/>
      <x:c r="N355" s="42" t="str">
        <x:f>IF(OR(L355="",M355=""),"",L355*M355)</x:f>
      </x:c>
      <x:c r="O355" s="40"/>
      <x:c r="P355" s="40"/>
      <x:c r="Q355" s="40"/>
      <x:c r="U355" s="42"/>
    </x:row>
    <x:row r="356">
      <x:c r="B356" s="40"/>
      <x:c r="M356" s="42"/>
      <x:c r="N356" s="42" t="str">
        <x:f>IF(OR(L356="",M356=""),"",L356*M356)</x:f>
      </x:c>
      <x:c r="O356" s="40"/>
      <x:c r="P356" s="40"/>
      <x:c r="Q356" s="40"/>
      <x:c r="U356" s="42"/>
    </x:row>
    <x:row r="357">
      <x:c r="B357" s="40"/>
      <x:c r="M357" s="42"/>
      <x:c r="N357" s="42" t="str">
        <x:f>IF(OR(L357="",M357=""),"",L357*M357)</x:f>
      </x:c>
      <x:c r="O357" s="40"/>
      <x:c r="P357" s="40"/>
      <x:c r="Q357" s="40"/>
      <x:c r="U357" s="42"/>
    </x:row>
    <x:row r="358">
      <x:c r="B358" s="40"/>
      <x:c r="M358" s="42"/>
      <x:c r="N358" s="42" t="str">
        <x:f>IF(OR(L358="",M358=""),"",L358*M358)</x:f>
      </x:c>
      <x:c r="O358" s="40"/>
      <x:c r="P358" s="40"/>
      <x:c r="Q358" s="40"/>
      <x:c r="U358" s="42"/>
    </x:row>
    <x:row r="359">
      <x:c r="B359" s="40"/>
      <x:c r="M359" s="42"/>
      <x:c r="N359" s="42" t="str">
        <x:f>IF(OR(L359="",M359=""),"",L359*M359)</x:f>
      </x:c>
      <x:c r="O359" s="40"/>
      <x:c r="P359" s="40"/>
      <x:c r="Q359" s="40"/>
      <x:c r="U359" s="42"/>
    </x:row>
    <x:row r="360">
      <x:c r="B360" s="40"/>
      <x:c r="M360" s="42"/>
      <x:c r="N360" s="42" t="str">
        <x:f>IF(OR(L360="",M360=""),"",L360*M360)</x:f>
      </x:c>
      <x:c r="O360" s="40"/>
      <x:c r="P360" s="40"/>
      <x:c r="Q360" s="40"/>
      <x:c r="U360" s="42"/>
    </x:row>
    <x:row r="361">
      <x:c r="B361" s="40"/>
      <x:c r="M361" s="42"/>
      <x:c r="N361" s="42" t="str">
        <x:f>IF(OR(L361="",M361=""),"",L361*M361)</x:f>
      </x:c>
      <x:c r="O361" s="40"/>
      <x:c r="P361" s="40"/>
      <x:c r="Q361" s="40"/>
      <x:c r="U361" s="42"/>
    </x:row>
    <x:row r="362">
      <x:c r="B362" s="40"/>
      <x:c r="M362" s="42"/>
      <x:c r="N362" s="42" t="str">
        <x:f>IF(OR(L362="",M362=""),"",L362*M362)</x:f>
      </x:c>
      <x:c r="O362" s="40"/>
      <x:c r="P362" s="40"/>
      <x:c r="Q362" s="40"/>
      <x:c r="U362" s="42"/>
    </x:row>
    <x:row r="363">
      <x:c r="B363" s="40"/>
      <x:c r="M363" s="42"/>
      <x:c r="N363" s="42" t="str">
        <x:f>IF(OR(L363="",M363=""),"",L363*M363)</x:f>
      </x:c>
      <x:c r="O363" s="40"/>
      <x:c r="P363" s="40"/>
      <x:c r="Q363" s="40"/>
      <x:c r="U363" s="42"/>
    </x:row>
    <x:row r="364">
      <x:c r="B364" s="40"/>
      <x:c r="M364" s="42"/>
      <x:c r="N364" s="42" t="str">
        <x:f>IF(OR(L364="",M364=""),"",L364*M364)</x:f>
      </x:c>
      <x:c r="O364" s="40"/>
      <x:c r="P364" s="40"/>
      <x:c r="Q364" s="40"/>
      <x:c r="U364" s="42"/>
    </x:row>
    <x:row r="365">
      <x:c r="B365" s="40"/>
      <x:c r="M365" s="42"/>
      <x:c r="N365" s="42" t="str">
        <x:f>IF(OR(L365="",M365=""),"",L365*M365)</x:f>
      </x:c>
      <x:c r="O365" s="40"/>
      <x:c r="P365" s="40"/>
      <x:c r="Q365" s="40"/>
      <x:c r="U365" s="42"/>
    </x:row>
    <x:row r="366">
      <x:c r="B366" s="40"/>
      <x:c r="M366" s="42"/>
      <x:c r="N366" s="42" t="str">
        <x:f>IF(OR(L366="",M366=""),"",L366*M366)</x:f>
      </x:c>
      <x:c r="O366" s="40"/>
      <x:c r="P366" s="40"/>
      <x:c r="Q366" s="40"/>
      <x:c r="U366" s="42"/>
    </x:row>
    <x:row r="367">
      <x:c r="B367" s="40"/>
      <x:c r="M367" s="42"/>
      <x:c r="N367" s="42" t="str">
        <x:f>IF(OR(L367="",M367=""),"",L367*M367)</x:f>
      </x:c>
      <x:c r="O367" s="40"/>
      <x:c r="P367" s="40"/>
      <x:c r="Q367" s="40"/>
      <x:c r="U367" s="42"/>
    </x:row>
    <x:row r="368">
      <x:c r="B368" s="40"/>
      <x:c r="M368" s="42"/>
      <x:c r="N368" s="42" t="str">
        <x:f>IF(OR(L368="",M368=""),"",L368*M368)</x:f>
      </x:c>
      <x:c r="O368" s="40"/>
      <x:c r="P368" s="40"/>
      <x:c r="Q368" s="40"/>
      <x:c r="U368" s="42"/>
    </x:row>
    <x:row r="369">
      <x:c r="B369" s="40"/>
      <x:c r="M369" s="42"/>
      <x:c r="N369" s="42" t="str">
        <x:f>IF(OR(L369="",M369=""),"",L369*M369)</x:f>
      </x:c>
      <x:c r="O369" s="40"/>
      <x:c r="P369" s="40"/>
      <x:c r="Q369" s="40"/>
      <x:c r="U369" s="42"/>
    </x:row>
    <x:row r="370">
      <x:c r="B370" s="40"/>
      <x:c r="M370" s="42"/>
      <x:c r="N370" s="42" t="str">
        <x:f>IF(OR(L370="",M370=""),"",L370*M370)</x:f>
      </x:c>
      <x:c r="O370" s="40"/>
      <x:c r="P370" s="40"/>
      <x:c r="Q370" s="40"/>
      <x:c r="U370" s="42"/>
    </x:row>
    <x:row r="371">
      <x:c r="B371" s="40"/>
      <x:c r="M371" s="42"/>
      <x:c r="N371" s="42" t="str">
        <x:f>IF(OR(L371="",M371=""),"",L371*M371)</x:f>
      </x:c>
      <x:c r="O371" s="40"/>
      <x:c r="P371" s="40"/>
      <x:c r="Q371" s="40"/>
      <x:c r="U371" s="42"/>
    </x:row>
    <x:row r="372">
      <x:c r="B372" s="40"/>
      <x:c r="M372" s="42"/>
      <x:c r="N372" s="42" t="str">
        <x:f>IF(OR(L372="",M372=""),"",L372*M372)</x:f>
      </x:c>
      <x:c r="O372" s="40"/>
      <x:c r="P372" s="40"/>
      <x:c r="Q372" s="40"/>
      <x:c r="U372" s="42"/>
    </x:row>
    <x:row r="373">
      <x:c r="B373" s="40"/>
      <x:c r="M373" s="42"/>
      <x:c r="N373" s="42" t="str">
        <x:f>IF(OR(L373="",M373=""),"",L373*M373)</x:f>
      </x:c>
      <x:c r="O373" s="40"/>
      <x:c r="P373" s="40"/>
      <x:c r="Q373" s="40"/>
      <x:c r="U373" s="42"/>
    </x:row>
    <x:row r="374">
      <x:c r="B374" s="40"/>
      <x:c r="M374" s="42"/>
      <x:c r="N374" s="42" t="str">
        <x:f>IF(OR(L374="",M374=""),"",L374*M374)</x:f>
      </x:c>
      <x:c r="O374" s="40"/>
      <x:c r="P374" s="40"/>
      <x:c r="Q374" s="40"/>
      <x:c r="U374" s="42"/>
    </x:row>
    <x:row r="375">
      <x:c r="B375" s="40"/>
      <x:c r="M375" s="42"/>
      <x:c r="N375" s="42" t="str">
        <x:f>IF(OR(L375="",M375=""),"",L375*M375)</x:f>
      </x:c>
      <x:c r="O375" s="40"/>
      <x:c r="P375" s="40"/>
      <x:c r="Q375" s="40"/>
      <x:c r="U375" s="42"/>
    </x:row>
    <x:row r="376">
      <x:c r="B376" s="40"/>
      <x:c r="M376" s="42"/>
      <x:c r="N376" s="42" t="str">
        <x:f>IF(OR(L376="",M376=""),"",L376*M376)</x:f>
      </x:c>
      <x:c r="O376" s="40"/>
      <x:c r="P376" s="40"/>
      <x:c r="Q376" s="40"/>
      <x:c r="U376" s="42"/>
    </x:row>
    <x:row r="377">
      <x:c r="B377" s="40"/>
      <x:c r="M377" s="42"/>
      <x:c r="N377" s="42" t="str">
        <x:f>IF(OR(L377="",M377=""),"",L377*M377)</x:f>
      </x:c>
      <x:c r="O377" s="40"/>
      <x:c r="P377" s="40"/>
      <x:c r="Q377" s="40"/>
      <x:c r="U377" s="42"/>
    </x:row>
    <x:row r="378">
      <x:c r="B378" s="40"/>
      <x:c r="M378" s="42"/>
      <x:c r="N378" s="42" t="str">
        <x:f>IF(OR(L378="",M378=""),"",L378*M378)</x:f>
      </x:c>
      <x:c r="O378" s="40"/>
      <x:c r="P378" s="40"/>
      <x:c r="Q378" s="40"/>
      <x:c r="U378" s="42"/>
    </x:row>
    <x:row r="379">
      <x:c r="B379" s="40"/>
      <x:c r="M379" s="42"/>
      <x:c r="N379" s="42" t="str">
        <x:f>IF(OR(L379="",M379=""),"",L379*M379)</x:f>
      </x:c>
      <x:c r="O379" s="40"/>
      <x:c r="P379" s="40"/>
      <x:c r="Q379" s="40"/>
      <x:c r="U379" s="42"/>
    </x:row>
    <x:row r="380">
      <x:c r="B380" s="40"/>
      <x:c r="M380" s="42"/>
      <x:c r="N380" s="42" t="str">
        <x:f>IF(OR(L380="",M380=""),"",L380*M380)</x:f>
      </x:c>
      <x:c r="O380" s="40"/>
      <x:c r="P380" s="40"/>
      <x:c r="Q380" s="40"/>
      <x:c r="U380" s="42"/>
    </x:row>
    <x:row r="381">
      <x:c r="B381" s="40"/>
      <x:c r="M381" s="42"/>
      <x:c r="N381" s="42" t="str">
        <x:f>IF(OR(L381="",M381=""),"",L381*M381)</x:f>
      </x:c>
      <x:c r="O381" s="40"/>
      <x:c r="P381" s="40"/>
      <x:c r="Q381" s="40"/>
      <x:c r="U381" s="42"/>
    </x:row>
    <x:row r="382">
      <x:c r="B382" s="40"/>
      <x:c r="M382" s="42"/>
      <x:c r="N382" s="42" t="str">
        <x:f>IF(OR(L382="",M382=""),"",L382*M382)</x:f>
      </x:c>
      <x:c r="O382" s="40"/>
      <x:c r="P382" s="40"/>
      <x:c r="Q382" s="40"/>
      <x:c r="U382" s="42"/>
    </x:row>
    <x:row r="383">
      <x:c r="B383" s="40"/>
      <x:c r="M383" s="42"/>
      <x:c r="N383" s="42" t="str">
        <x:f>IF(OR(L383="",M383=""),"",L383*M383)</x:f>
      </x:c>
      <x:c r="O383" s="40"/>
      <x:c r="P383" s="40"/>
      <x:c r="Q383" s="40"/>
      <x:c r="U383" s="42"/>
    </x:row>
    <x:row r="384">
      <x:c r="B384" s="40"/>
      <x:c r="M384" s="42"/>
      <x:c r="N384" s="42" t="str">
        <x:f>IF(OR(L384="",M384=""),"",L384*M384)</x:f>
      </x:c>
      <x:c r="O384" s="40"/>
      <x:c r="P384" s="40"/>
      <x:c r="Q384" s="40"/>
      <x:c r="U384" s="42"/>
    </x:row>
    <x:row r="385">
      <x:c r="B385" s="40"/>
      <x:c r="M385" s="42"/>
      <x:c r="N385" s="42" t="str">
        <x:f>IF(OR(L385="",M385=""),"",L385*M385)</x:f>
      </x:c>
      <x:c r="O385" s="40"/>
      <x:c r="P385" s="40"/>
      <x:c r="Q385" s="40"/>
      <x:c r="U385" s="42"/>
    </x:row>
    <x:row r="386">
      <x:c r="B386" s="40"/>
      <x:c r="M386" s="42"/>
      <x:c r="N386" s="42" t="str">
        <x:f>IF(OR(L386="",M386=""),"",L386*M386)</x:f>
      </x:c>
      <x:c r="O386" s="40"/>
      <x:c r="P386" s="40"/>
      <x:c r="Q386" s="40"/>
      <x:c r="U386" s="42"/>
    </x:row>
    <x:row r="387">
      <x:c r="B387" s="40"/>
      <x:c r="M387" s="42"/>
      <x:c r="N387" s="42" t="str">
        <x:f>IF(OR(L387="",M387=""),"",L387*M387)</x:f>
      </x:c>
      <x:c r="O387" s="40"/>
      <x:c r="P387" s="40"/>
      <x:c r="Q387" s="40"/>
      <x:c r="U387" s="42"/>
    </x:row>
    <x:row r="388">
      <x:c r="B388" s="40"/>
      <x:c r="M388" s="42"/>
      <x:c r="N388" s="42" t="str">
        <x:f>IF(OR(L388="",M388=""),"",L388*M388)</x:f>
      </x:c>
      <x:c r="O388" s="40"/>
      <x:c r="P388" s="40"/>
      <x:c r="Q388" s="40"/>
      <x:c r="U388" s="42"/>
    </x:row>
    <x:row r="389">
      <x:c r="B389" s="40"/>
      <x:c r="M389" s="42"/>
      <x:c r="N389" s="42" t="str">
        <x:f>IF(OR(L389="",M389=""),"",L389*M389)</x:f>
      </x:c>
      <x:c r="O389" s="40"/>
      <x:c r="P389" s="40"/>
      <x:c r="Q389" s="40"/>
      <x:c r="U389" s="42"/>
    </x:row>
    <x:row r="390">
      <x:c r="B390" s="40"/>
      <x:c r="M390" s="42"/>
      <x:c r="N390" s="42" t="str">
        <x:f>IF(OR(L390="",M390=""),"",L390*M390)</x:f>
      </x:c>
      <x:c r="O390" s="40"/>
      <x:c r="P390" s="40"/>
      <x:c r="Q390" s="40"/>
      <x:c r="U390" s="42"/>
    </x:row>
    <x:row r="391">
      <x:c r="B391" s="40"/>
      <x:c r="M391" s="42"/>
      <x:c r="N391" s="42" t="str">
        <x:f>IF(OR(L391="",M391=""),"",L391*M391)</x:f>
      </x:c>
      <x:c r="O391" s="40"/>
      <x:c r="P391" s="40"/>
      <x:c r="Q391" s="40"/>
      <x:c r="U391" s="42"/>
    </x:row>
    <x:row r="392">
      <x:c r="B392" s="40"/>
      <x:c r="M392" s="42"/>
      <x:c r="N392" s="42" t="str">
        <x:f>IF(OR(L392="",M392=""),"",L392*M392)</x:f>
      </x:c>
      <x:c r="O392" s="40"/>
      <x:c r="P392" s="40"/>
      <x:c r="Q392" s="40"/>
      <x:c r="U392" s="42"/>
    </x:row>
    <x:row r="393">
      <x:c r="B393" s="40"/>
      <x:c r="M393" s="42"/>
      <x:c r="N393" s="42" t="str">
        <x:f>IF(OR(L393="",M393=""),"",L393*M393)</x:f>
      </x:c>
      <x:c r="O393" s="40"/>
      <x:c r="P393" s="40"/>
      <x:c r="Q393" s="40"/>
      <x:c r="U393" s="42"/>
    </x:row>
    <x:row r="394">
      <x:c r="B394" s="40"/>
      <x:c r="M394" s="42"/>
      <x:c r="N394" s="42" t="str">
        <x:f>IF(OR(L394="",M394=""),"",L394*M394)</x:f>
      </x:c>
      <x:c r="O394" s="40"/>
      <x:c r="P394" s="40"/>
      <x:c r="Q394" s="40"/>
      <x:c r="U394" s="42"/>
    </x:row>
    <x:row r="395">
      <x:c r="B395" s="40"/>
      <x:c r="M395" s="42"/>
      <x:c r="N395" s="42" t="str">
        <x:f>IF(OR(L395="",M395=""),"",L395*M395)</x:f>
      </x:c>
      <x:c r="O395" s="40"/>
      <x:c r="P395" s="40"/>
      <x:c r="Q395" s="40"/>
      <x:c r="U395" s="42"/>
    </x:row>
    <x:row r="396">
      <x:c r="B396" s="40"/>
      <x:c r="M396" s="42"/>
      <x:c r="N396" s="42" t="str">
        <x:f>IF(OR(L396="",M396=""),"",L396*M396)</x:f>
      </x:c>
      <x:c r="O396" s="40"/>
      <x:c r="P396" s="40"/>
      <x:c r="Q396" s="40"/>
      <x:c r="U396" s="42"/>
    </x:row>
    <x:row r="397">
      <x:c r="B397" s="40"/>
      <x:c r="M397" s="42"/>
      <x:c r="N397" s="42" t="str">
        <x:f>IF(OR(L397="",M397=""),"",L397*M397)</x:f>
      </x:c>
      <x:c r="O397" s="40"/>
      <x:c r="P397" s="40"/>
      <x:c r="Q397" s="40"/>
      <x:c r="U397" s="42"/>
    </x:row>
    <x:row r="398">
      <x:c r="B398" s="40"/>
      <x:c r="M398" s="42"/>
      <x:c r="N398" s="42" t="str">
        <x:f>IF(OR(L398="",M398=""),"",L398*M398)</x:f>
      </x:c>
      <x:c r="O398" s="40"/>
      <x:c r="P398" s="40"/>
      <x:c r="Q398" s="40"/>
      <x:c r="U398" s="42"/>
    </x:row>
    <x:row r="399">
      <x:c r="B399" s="40"/>
      <x:c r="M399" s="42"/>
      <x:c r="N399" s="42" t="str">
        <x:f>IF(OR(L399="",M399=""),"",L399*M399)</x:f>
      </x:c>
      <x:c r="O399" s="40"/>
      <x:c r="P399" s="40"/>
      <x:c r="Q399" s="40"/>
      <x:c r="U399" s="42"/>
    </x:row>
    <x:row r="400">
      <x:c r="B400" s="40"/>
      <x:c r="M400" s="42"/>
      <x:c r="N400" s="42" t="str">
        <x:f>IF(OR(L400="",M400=""),"",L400*M400)</x:f>
      </x:c>
      <x:c r="O400" s="40"/>
      <x:c r="P400" s="40"/>
      <x:c r="Q400" s="40"/>
      <x:c r="U400" s="42"/>
    </x:row>
    <x:row r="401">
      <x:c r="B401" s="40"/>
      <x:c r="M401" s="42"/>
      <x:c r="N401" s="42" t="str">
        <x:f>IF(OR(L401="",M401=""),"",L401*M401)</x:f>
      </x:c>
      <x:c r="O401" s="40"/>
      <x:c r="P401" s="40"/>
      <x:c r="Q401" s="40"/>
      <x:c r="U401" s="42"/>
    </x:row>
    <x:row r="402">
      <x:c r="B402" s="40"/>
      <x:c r="M402" s="42"/>
      <x:c r="N402" s="42" t="str">
        <x:f>IF(OR(L402="",M402=""),"",L402*M402)</x:f>
      </x:c>
      <x:c r="O402" s="40"/>
      <x:c r="P402" s="40"/>
      <x:c r="Q402" s="40"/>
      <x:c r="U402" s="42"/>
    </x:row>
    <x:row r="403">
      <x:c r="B403" s="40"/>
      <x:c r="M403" s="42"/>
      <x:c r="N403" s="42" t="str">
        <x:f>IF(OR(L403="",M403=""),"",L403*M403)</x:f>
      </x:c>
      <x:c r="O403" s="40"/>
      <x:c r="P403" s="40"/>
      <x:c r="Q403" s="40"/>
      <x:c r="U403" s="42"/>
    </x:row>
    <x:row r="404">
      <x:c r="B404" s="40"/>
      <x:c r="M404" s="42"/>
      <x:c r="N404" s="42" t="str">
        <x:f>IF(OR(L404="",M404=""),"",L404*M404)</x:f>
      </x:c>
      <x:c r="O404" s="40"/>
      <x:c r="P404" s="40"/>
      <x:c r="Q404" s="40"/>
      <x:c r="U404" s="42"/>
    </x:row>
    <x:row r="405">
      <x:c r="B405" s="40"/>
      <x:c r="M405" s="42"/>
      <x:c r="N405" s="42" t="str">
        <x:f>IF(OR(L405="",M405=""),"",L405*M405)</x:f>
      </x:c>
      <x:c r="O405" s="40"/>
      <x:c r="P405" s="40"/>
      <x:c r="Q405" s="40"/>
      <x:c r="U405" s="42"/>
    </x:row>
    <x:row r="406">
      <x:c r="B406" s="40"/>
      <x:c r="M406" s="42"/>
      <x:c r="N406" s="42" t="str">
        <x:f>IF(OR(L406="",M406=""),"",L406*M406)</x:f>
      </x:c>
      <x:c r="O406" s="40"/>
      <x:c r="P406" s="40"/>
      <x:c r="Q406" s="40"/>
      <x:c r="U406" s="42"/>
    </x:row>
    <x:row r="407">
      <x:c r="B407" s="40"/>
      <x:c r="M407" s="42"/>
      <x:c r="N407" s="42" t="str">
        <x:f>IF(OR(L407="",M407=""),"",L407*M407)</x:f>
      </x:c>
      <x:c r="O407" s="40"/>
      <x:c r="P407" s="40"/>
      <x:c r="Q407" s="40"/>
      <x:c r="U407" s="42"/>
    </x:row>
    <x:row r="408">
      <x:c r="B408" s="40"/>
      <x:c r="M408" s="42"/>
      <x:c r="N408" s="42" t="str">
        <x:f>IF(OR(L408="",M408=""),"",L408*M408)</x:f>
      </x:c>
      <x:c r="O408" s="40"/>
      <x:c r="P408" s="40"/>
      <x:c r="Q408" s="40"/>
      <x:c r="U408" s="42"/>
    </x:row>
    <x:row r="409">
      <x:c r="B409" s="40"/>
      <x:c r="M409" s="42"/>
      <x:c r="N409" s="42" t="str">
        <x:f>IF(OR(L409="",M409=""),"",L409*M409)</x:f>
      </x:c>
      <x:c r="O409" s="40"/>
      <x:c r="P409" s="40"/>
      <x:c r="Q409" s="40"/>
      <x:c r="U409" s="42"/>
    </x:row>
    <x:row r="410">
      <x:c r="B410" s="40"/>
      <x:c r="M410" s="42"/>
      <x:c r="N410" s="42" t="str">
        <x:f>IF(OR(L410="",M410=""),"",L410*M410)</x:f>
      </x:c>
      <x:c r="O410" s="40"/>
      <x:c r="P410" s="40"/>
      <x:c r="Q410" s="40"/>
      <x:c r="U410" s="42"/>
    </x:row>
    <x:row r="411">
      <x:c r="B411" s="40"/>
      <x:c r="M411" s="42"/>
      <x:c r="N411" s="42" t="str">
        <x:f>IF(OR(L411="",M411=""),"",L411*M411)</x:f>
      </x:c>
      <x:c r="O411" s="40"/>
      <x:c r="P411" s="40"/>
      <x:c r="Q411" s="40"/>
      <x:c r="U411" s="42"/>
    </x:row>
    <x:row r="412">
      <x:c r="B412" s="40"/>
      <x:c r="M412" s="42"/>
      <x:c r="N412" s="42" t="str">
        <x:f>IF(OR(L412="",M412=""),"",L412*M412)</x:f>
      </x:c>
      <x:c r="O412" s="40"/>
      <x:c r="P412" s="40"/>
      <x:c r="Q412" s="40"/>
      <x:c r="U412" s="42"/>
    </x:row>
    <x:row r="413">
      <x:c r="B413" s="40"/>
      <x:c r="M413" s="42"/>
      <x:c r="N413" s="42" t="str">
        <x:f>IF(OR(L413="",M413=""),"",L413*M413)</x:f>
      </x:c>
      <x:c r="O413" s="40"/>
      <x:c r="P413" s="40"/>
      <x:c r="Q413" s="40"/>
      <x:c r="U413" s="42"/>
    </x:row>
    <x:row r="414">
      <x:c r="B414" s="40"/>
      <x:c r="M414" s="42"/>
      <x:c r="N414" s="42" t="str">
        <x:f>IF(OR(L414="",M414=""),"",L414*M414)</x:f>
      </x:c>
      <x:c r="O414" s="40"/>
      <x:c r="P414" s="40"/>
      <x:c r="Q414" s="40"/>
      <x:c r="U414" s="42"/>
    </x:row>
    <x:row r="415">
      <x:c r="B415" s="40"/>
      <x:c r="M415" s="42"/>
      <x:c r="N415" s="42" t="str">
        <x:f>IF(OR(L415="",M415=""),"",L415*M415)</x:f>
      </x:c>
      <x:c r="O415" s="40"/>
      <x:c r="P415" s="40"/>
      <x:c r="Q415" s="40"/>
      <x:c r="U415" s="42"/>
    </x:row>
    <x:row r="416">
      <x:c r="B416" s="40"/>
      <x:c r="M416" s="42"/>
      <x:c r="N416" s="42" t="str">
        <x:f>IF(OR(L416="",M416=""),"",L416*M416)</x:f>
      </x:c>
      <x:c r="O416" s="40"/>
      <x:c r="P416" s="40"/>
      <x:c r="Q416" s="40"/>
      <x:c r="U416" s="42"/>
    </x:row>
    <x:row r="417">
      <x:c r="B417" s="40"/>
      <x:c r="M417" s="42"/>
      <x:c r="N417" s="42" t="str">
        <x:f>IF(OR(L417="",M417=""),"",L417*M417)</x:f>
      </x:c>
      <x:c r="O417" s="40"/>
      <x:c r="P417" s="40"/>
      <x:c r="Q417" s="40"/>
      <x:c r="U417" s="42"/>
    </x:row>
    <x:row r="418">
      <x:c r="B418" s="40"/>
      <x:c r="M418" s="42"/>
      <x:c r="N418" s="42" t="str">
        <x:f>IF(OR(L418="",M418=""),"",L418*M418)</x:f>
      </x:c>
      <x:c r="O418" s="40"/>
      <x:c r="P418" s="40"/>
      <x:c r="Q418" s="40"/>
      <x:c r="U418" s="42"/>
    </x:row>
    <x:row r="419">
      <x:c r="B419" s="40"/>
      <x:c r="M419" s="42"/>
      <x:c r="N419" s="42" t="str">
        <x:f>IF(OR(L419="",M419=""),"",L419*M419)</x:f>
      </x:c>
      <x:c r="O419" s="40"/>
      <x:c r="P419" s="40"/>
      <x:c r="Q419" s="40"/>
      <x:c r="U419" s="42"/>
    </x:row>
    <x:row r="420">
      <x:c r="B420" s="40"/>
      <x:c r="M420" s="42"/>
      <x:c r="N420" s="42" t="str">
        <x:f>IF(OR(L420="",M420=""),"",L420*M420)</x:f>
      </x:c>
      <x:c r="O420" s="40"/>
      <x:c r="P420" s="40"/>
      <x:c r="Q420" s="40"/>
      <x:c r="U420" s="42"/>
    </x:row>
    <x:row r="421">
      <x:c r="B421" s="40"/>
      <x:c r="M421" s="42"/>
      <x:c r="N421" s="42" t="str">
        <x:f>IF(OR(L421="",M421=""),"",L421*M421)</x:f>
      </x:c>
      <x:c r="O421" s="40"/>
      <x:c r="P421" s="40"/>
      <x:c r="Q421" s="40"/>
      <x:c r="U421" s="42"/>
    </x:row>
    <x:row r="422">
      <x:c r="B422" s="40"/>
      <x:c r="M422" s="42"/>
      <x:c r="N422" s="42" t="str">
        <x:f>IF(OR(L422="",M422=""),"",L422*M422)</x:f>
      </x:c>
      <x:c r="O422" s="40"/>
      <x:c r="P422" s="40"/>
      <x:c r="Q422" s="40"/>
      <x:c r="U422" s="42"/>
    </x:row>
    <x:row r="423">
      <x:c r="B423" s="40"/>
      <x:c r="M423" s="42"/>
      <x:c r="N423" s="42" t="str">
        <x:f>IF(OR(L423="",M423=""),"",L423*M423)</x:f>
      </x:c>
      <x:c r="O423" s="40"/>
      <x:c r="P423" s="40"/>
      <x:c r="Q423" s="40"/>
      <x:c r="U423" s="42"/>
    </x:row>
    <x:row r="424">
      <x:c r="B424" s="40"/>
      <x:c r="M424" s="42"/>
      <x:c r="N424" s="42" t="str">
        <x:f>IF(OR(L424="",M424=""),"",L424*M424)</x:f>
      </x:c>
      <x:c r="O424" s="40"/>
      <x:c r="P424" s="40"/>
      <x:c r="Q424" s="40"/>
      <x:c r="U424" s="42"/>
    </x:row>
    <x:row r="425">
      <x:c r="B425" s="40"/>
      <x:c r="M425" s="42"/>
      <x:c r="N425" s="42" t="str">
        <x:f>IF(OR(L425="",M425=""),"",L425*M425)</x:f>
      </x:c>
      <x:c r="O425" s="40"/>
      <x:c r="P425" s="40"/>
      <x:c r="Q425" s="40"/>
      <x:c r="U425" s="42"/>
    </x:row>
    <x:row r="426">
      <x:c r="B426" s="40"/>
      <x:c r="M426" s="42"/>
      <x:c r="N426" s="42" t="str">
        <x:f>IF(OR(L426="",M426=""),"",L426*M426)</x:f>
      </x:c>
      <x:c r="O426" s="40"/>
      <x:c r="P426" s="40"/>
      <x:c r="Q426" s="40"/>
      <x:c r="U426" s="42"/>
    </x:row>
    <x:row r="427">
      <x:c r="B427" s="40"/>
      <x:c r="M427" s="42"/>
      <x:c r="N427" s="42" t="str">
        <x:f>IF(OR(L427="",M427=""),"",L427*M427)</x:f>
      </x:c>
      <x:c r="O427" s="40"/>
      <x:c r="P427" s="40"/>
      <x:c r="Q427" s="40"/>
      <x:c r="U427" s="42"/>
    </x:row>
    <x:row r="428">
      <x:c r="B428" s="40"/>
      <x:c r="M428" s="42"/>
      <x:c r="N428" s="42" t="str">
        <x:f>IF(OR(L428="",M428=""),"",L428*M428)</x:f>
      </x:c>
      <x:c r="O428" s="40"/>
      <x:c r="P428" s="40"/>
      <x:c r="Q428" s="40"/>
      <x:c r="U428" s="42"/>
    </x:row>
    <x:row r="429">
      <x:c r="B429" s="40"/>
      <x:c r="M429" s="42"/>
      <x:c r="N429" s="42" t="str">
        <x:f>IF(OR(L429="",M429=""),"",L429*M429)</x:f>
      </x:c>
      <x:c r="O429" s="40"/>
      <x:c r="P429" s="40"/>
      <x:c r="Q429" s="40"/>
      <x:c r="U429" s="42"/>
    </x:row>
    <x:row r="430">
      <x:c r="B430" s="40"/>
      <x:c r="M430" s="42"/>
      <x:c r="N430" s="42" t="str">
        <x:f>IF(OR(L430="",M430=""),"",L430*M430)</x:f>
      </x:c>
      <x:c r="O430" s="40"/>
      <x:c r="P430" s="40"/>
      <x:c r="Q430" s="40"/>
      <x:c r="U430" s="42"/>
    </x:row>
    <x:row r="431">
      <x:c r="B431" s="40"/>
      <x:c r="M431" s="42"/>
      <x:c r="N431" s="42" t="str">
        <x:f>IF(OR(L431="",M431=""),"",L431*M431)</x:f>
      </x:c>
      <x:c r="O431" s="40"/>
      <x:c r="P431" s="40"/>
      <x:c r="Q431" s="40"/>
      <x:c r="U431" s="42"/>
    </x:row>
    <x:row r="432">
      <x:c r="B432" s="40"/>
      <x:c r="M432" s="42"/>
      <x:c r="N432" s="42" t="str">
        <x:f>IF(OR(L432="",M432=""),"",L432*M432)</x:f>
      </x:c>
      <x:c r="O432" s="40"/>
      <x:c r="P432" s="40"/>
      <x:c r="Q432" s="40"/>
      <x:c r="U432" s="42"/>
    </x:row>
    <x:row r="433">
      <x:c r="B433" s="40"/>
      <x:c r="M433" s="42"/>
      <x:c r="N433" s="42" t="str">
        <x:f>IF(OR(L433="",M433=""),"",L433*M433)</x:f>
      </x:c>
      <x:c r="O433" s="40"/>
      <x:c r="P433" s="40"/>
      <x:c r="Q433" s="40"/>
      <x:c r="U433" s="42"/>
    </x:row>
    <x:row r="434">
      <x:c r="B434" s="40"/>
      <x:c r="M434" s="42"/>
      <x:c r="N434" s="42" t="str">
        <x:f>IF(OR(L434="",M434=""),"",L434*M434)</x:f>
      </x:c>
      <x:c r="O434" s="40"/>
      <x:c r="P434" s="40"/>
      <x:c r="Q434" s="40"/>
      <x:c r="U434" s="42"/>
    </x:row>
    <x:row r="435">
      <x:c r="B435" s="40"/>
      <x:c r="M435" s="42"/>
      <x:c r="N435" s="42" t="str">
        <x:f>IF(OR(L435="",M435=""),"",L435*M435)</x:f>
      </x:c>
      <x:c r="O435" s="40"/>
      <x:c r="P435" s="40"/>
      <x:c r="Q435" s="40"/>
      <x:c r="U435" s="42"/>
    </x:row>
    <x:row r="436">
      <x:c r="B436" s="40"/>
      <x:c r="M436" s="42"/>
      <x:c r="N436" s="42" t="str">
        <x:f>IF(OR(L436="",M436=""),"",L436*M436)</x:f>
      </x:c>
      <x:c r="O436" s="40"/>
      <x:c r="P436" s="40"/>
      <x:c r="Q436" s="40"/>
      <x:c r="U436" s="42"/>
    </x:row>
    <x:row r="437">
      <x:c r="B437" s="40"/>
      <x:c r="M437" s="42"/>
      <x:c r="N437" s="42" t="str">
        <x:f>IF(OR(L437="",M437=""),"",L437*M437)</x:f>
      </x:c>
      <x:c r="O437" s="40"/>
      <x:c r="P437" s="40"/>
      <x:c r="Q437" s="40"/>
      <x:c r="U437" s="42"/>
    </x:row>
    <x:row r="438">
      <x:c r="B438" s="40"/>
      <x:c r="M438" s="42"/>
      <x:c r="N438" s="42" t="str">
        <x:f>IF(OR(L438="",M438=""),"",L438*M438)</x:f>
      </x:c>
      <x:c r="O438" s="40"/>
      <x:c r="P438" s="40"/>
      <x:c r="Q438" s="40"/>
      <x:c r="U438" s="42"/>
    </x:row>
    <x:row r="439">
      <x:c r="B439" s="40"/>
      <x:c r="M439" s="42"/>
      <x:c r="N439" s="42" t="str">
        <x:f>IF(OR(L439="",M439=""),"",L439*M439)</x:f>
      </x:c>
      <x:c r="O439" s="40"/>
      <x:c r="P439" s="40"/>
      <x:c r="Q439" s="40"/>
      <x:c r="U439" s="42"/>
    </x:row>
    <x:row r="440">
      <x:c r="B440" s="40"/>
      <x:c r="M440" s="42"/>
      <x:c r="N440" s="42" t="str">
        <x:f>IF(OR(L440="",M440=""),"",L440*M440)</x:f>
      </x:c>
      <x:c r="O440" s="40"/>
      <x:c r="P440" s="40"/>
      <x:c r="Q440" s="40"/>
      <x:c r="U440" s="42"/>
    </x:row>
    <x:row r="441">
      <x:c r="B441" s="40"/>
      <x:c r="M441" s="42"/>
      <x:c r="N441" s="42" t="str">
        <x:f>IF(OR(L441="",M441=""),"",L441*M441)</x:f>
      </x:c>
      <x:c r="O441" s="40"/>
      <x:c r="P441" s="40"/>
      <x:c r="Q441" s="40"/>
      <x:c r="U441" s="42"/>
    </x:row>
    <x:row r="442">
      <x:c r="B442" s="40"/>
      <x:c r="M442" s="42"/>
      <x:c r="N442" s="42" t="str">
        <x:f>IF(OR(L442="",M442=""),"",L442*M442)</x:f>
      </x:c>
      <x:c r="O442" s="40"/>
      <x:c r="P442" s="40"/>
      <x:c r="Q442" s="40"/>
      <x:c r="U442" s="42"/>
    </x:row>
    <x:row r="443">
      <x:c r="B443" s="40"/>
      <x:c r="M443" s="42"/>
      <x:c r="N443" s="42" t="str">
        <x:f>IF(OR(L443="",M443=""),"",L443*M443)</x:f>
      </x:c>
      <x:c r="O443" s="40"/>
      <x:c r="P443" s="40"/>
      <x:c r="Q443" s="40"/>
      <x:c r="U443" s="42"/>
    </x:row>
    <x:row r="444">
      <x:c r="B444" s="40"/>
      <x:c r="M444" s="42"/>
      <x:c r="N444" s="42" t="str">
        <x:f>IF(OR(L444="",M444=""),"",L444*M444)</x:f>
      </x:c>
      <x:c r="O444" s="40"/>
      <x:c r="P444" s="40"/>
      <x:c r="Q444" s="40"/>
      <x:c r="U444" s="42"/>
    </x:row>
    <x:row r="445">
      <x:c r="B445" s="40"/>
      <x:c r="M445" s="42"/>
      <x:c r="N445" s="42" t="str">
        <x:f>IF(OR(L445="",M445=""),"",L445*M445)</x:f>
      </x:c>
      <x:c r="O445" s="40"/>
      <x:c r="P445" s="40"/>
      <x:c r="Q445" s="40"/>
      <x:c r="U445" s="42"/>
    </x:row>
    <x:row r="446">
      <x:c r="B446" s="40"/>
      <x:c r="M446" s="42"/>
      <x:c r="N446" s="42" t="str">
        <x:f>IF(OR(L446="",M446=""),"",L446*M446)</x:f>
      </x:c>
      <x:c r="O446" s="40"/>
      <x:c r="P446" s="40"/>
      <x:c r="Q446" s="40"/>
      <x:c r="U446" s="42"/>
    </x:row>
    <x:row r="447">
      <x:c r="B447" s="40"/>
      <x:c r="M447" s="42"/>
      <x:c r="N447" s="42" t="str">
        <x:f>IF(OR(L447="",M447=""),"",L447*M447)</x:f>
      </x:c>
      <x:c r="O447" s="40"/>
      <x:c r="P447" s="40"/>
      <x:c r="Q447" s="40"/>
      <x:c r="U447" s="42"/>
    </x:row>
    <x:row r="448">
      <x:c r="B448" s="40"/>
      <x:c r="M448" s="42"/>
      <x:c r="N448" s="42" t="str">
        <x:f>IF(OR(L448="",M448=""),"",L448*M448)</x:f>
      </x:c>
      <x:c r="O448" s="40"/>
      <x:c r="P448" s="40"/>
      <x:c r="Q448" s="40"/>
      <x:c r="U448" s="42"/>
    </x:row>
    <x:row r="449">
      <x:c r="B449" s="40"/>
      <x:c r="M449" s="42"/>
      <x:c r="N449" s="42" t="str">
        <x:f>IF(OR(L449="",M449=""),"",L449*M449)</x:f>
      </x:c>
      <x:c r="O449" s="40"/>
      <x:c r="P449" s="40"/>
      <x:c r="Q449" s="40"/>
      <x:c r="U449" s="42"/>
    </x:row>
    <x:row r="450">
      <x:c r="B450" s="40"/>
      <x:c r="M450" s="42"/>
      <x:c r="N450" s="42" t="str">
        <x:f>IF(OR(L450="",M450=""),"",L450*M450)</x:f>
      </x:c>
      <x:c r="O450" s="40"/>
      <x:c r="P450" s="40"/>
      <x:c r="Q450" s="40"/>
      <x:c r="U450" s="42"/>
    </x:row>
    <x:row r="451">
      <x:c r="B451" s="40"/>
      <x:c r="M451" s="42"/>
      <x:c r="N451" s="42" t="str">
        <x:f>IF(OR(L451="",M451=""),"",L451*M451)</x:f>
      </x:c>
      <x:c r="O451" s="40"/>
      <x:c r="P451" s="40"/>
      <x:c r="Q451" s="40"/>
      <x:c r="U451" s="42"/>
    </x:row>
    <x:row r="452">
      <x:c r="B452" s="40"/>
      <x:c r="M452" s="42"/>
      <x:c r="N452" s="42" t="str">
        <x:f>IF(OR(L452="",M452=""),"",L452*M452)</x:f>
      </x:c>
      <x:c r="O452" s="40"/>
      <x:c r="P452" s="40"/>
      <x:c r="Q452" s="40"/>
      <x:c r="U452" s="42"/>
    </x:row>
    <x:row r="453">
      <x:c r="B453" s="40"/>
      <x:c r="M453" s="42"/>
      <x:c r="N453" s="42" t="str">
        <x:f>IF(OR(L453="",M453=""),"",L453*M453)</x:f>
      </x:c>
      <x:c r="O453" s="40"/>
      <x:c r="P453" s="40"/>
      <x:c r="Q453" s="40"/>
      <x:c r="U453" s="42"/>
    </x:row>
    <x:row r="454">
      <x:c r="B454" s="40"/>
      <x:c r="M454" s="42"/>
      <x:c r="N454" s="42" t="str">
        <x:f>IF(OR(L454="",M454=""),"",L454*M454)</x:f>
      </x:c>
      <x:c r="O454" s="40"/>
      <x:c r="P454" s="40"/>
      <x:c r="Q454" s="40"/>
      <x:c r="U454" s="42"/>
    </x:row>
    <x:row r="455">
      <x:c r="B455" s="40"/>
      <x:c r="M455" s="42"/>
      <x:c r="N455" s="42" t="str">
        <x:f>IF(OR(L455="",M455=""),"",L455*M455)</x:f>
      </x:c>
      <x:c r="O455" s="40"/>
      <x:c r="P455" s="40"/>
      <x:c r="Q455" s="40"/>
      <x:c r="U455" s="42"/>
    </x:row>
    <x:row r="456">
      <x:c r="B456" s="40"/>
      <x:c r="M456" s="42"/>
      <x:c r="N456" s="42" t="str">
        <x:f>IF(OR(L456="",M456=""),"",L456*M456)</x:f>
      </x:c>
      <x:c r="O456" s="40"/>
      <x:c r="P456" s="40"/>
      <x:c r="Q456" s="40"/>
      <x:c r="U456" s="42"/>
    </x:row>
    <x:row r="457">
      <x:c r="B457" s="40"/>
      <x:c r="M457" s="42"/>
      <x:c r="N457" s="42" t="str">
        <x:f>IF(OR(L457="",M457=""),"",L457*M457)</x:f>
      </x:c>
      <x:c r="O457" s="40"/>
      <x:c r="P457" s="40"/>
      <x:c r="Q457" s="40"/>
      <x:c r="U457" s="42"/>
    </x:row>
    <x:row r="458">
      <x:c r="B458" s="40"/>
      <x:c r="M458" s="42"/>
      <x:c r="N458" s="42" t="str">
        <x:f>IF(OR(L458="",M458=""),"",L458*M458)</x:f>
      </x:c>
      <x:c r="O458" s="40"/>
      <x:c r="P458" s="40"/>
      <x:c r="Q458" s="40"/>
      <x:c r="U458" s="42"/>
    </x:row>
    <x:row r="459">
      <x:c r="B459" s="40"/>
      <x:c r="M459" s="42"/>
      <x:c r="N459" s="42" t="str">
        <x:f>IF(OR(L459="",M459=""),"",L459*M459)</x:f>
      </x:c>
      <x:c r="O459" s="40"/>
      <x:c r="P459" s="40"/>
      <x:c r="Q459" s="40"/>
      <x:c r="U459" s="42"/>
    </x:row>
    <x:row r="460">
      <x:c r="B460" s="40"/>
      <x:c r="M460" s="42"/>
      <x:c r="N460" s="42" t="str">
        <x:f>IF(OR(L460="",M460=""),"",L460*M460)</x:f>
      </x:c>
      <x:c r="O460" s="40"/>
      <x:c r="P460" s="40"/>
      <x:c r="Q460" s="40"/>
      <x:c r="U460" s="42"/>
    </x:row>
    <x:row r="461">
      <x:c r="B461" s="40"/>
      <x:c r="M461" s="42"/>
      <x:c r="N461" s="42" t="str">
        <x:f>IF(OR(L461="",M461=""),"",L461*M461)</x:f>
      </x:c>
      <x:c r="O461" s="40"/>
      <x:c r="P461" s="40"/>
      <x:c r="Q461" s="40"/>
      <x:c r="U461" s="42"/>
    </x:row>
    <x:row r="462">
      <x:c r="B462" s="40"/>
      <x:c r="M462" s="42"/>
      <x:c r="N462" s="42" t="str">
        <x:f>IF(OR(L462="",M462=""),"",L462*M462)</x:f>
      </x:c>
      <x:c r="O462" s="40"/>
      <x:c r="P462" s="40"/>
      <x:c r="Q462" s="40"/>
      <x:c r="U462" s="42"/>
    </x:row>
    <x:row r="463">
      <x:c r="B463" s="40"/>
      <x:c r="M463" s="42"/>
      <x:c r="N463" s="42" t="str">
        <x:f>IF(OR(L463="",M463=""),"",L463*M463)</x:f>
      </x:c>
      <x:c r="O463" s="40"/>
      <x:c r="P463" s="40"/>
      <x:c r="Q463" s="40"/>
      <x:c r="U463" s="42"/>
    </x:row>
    <x:row r="464">
      <x:c r="B464" s="40"/>
      <x:c r="M464" s="42"/>
      <x:c r="N464" s="42" t="str">
        <x:f>IF(OR(L464="",M464=""),"",L464*M464)</x:f>
      </x:c>
      <x:c r="O464" s="40"/>
      <x:c r="P464" s="40"/>
      <x:c r="Q464" s="40"/>
      <x:c r="U464" s="42"/>
    </x:row>
    <x:row r="465">
      <x:c r="B465" s="40"/>
      <x:c r="M465" s="42"/>
      <x:c r="N465" s="42" t="str">
        <x:f>IF(OR(L465="",M465=""),"",L465*M465)</x:f>
      </x:c>
      <x:c r="O465" s="40"/>
      <x:c r="P465" s="40"/>
      <x:c r="Q465" s="40"/>
      <x:c r="U465" s="42"/>
    </x:row>
    <x:row r="466">
      <x:c r="B466" s="40"/>
      <x:c r="M466" s="42"/>
      <x:c r="N466" s="42" t="str">
        <x:f>IF(OR(L466="",M466=""),"",L466*M466)</x:f>
      </x:c>
      <x:c r="O466" s="40"/>
      <x:c r="P466" s="40"/>
      <x:c r="Q466" s="40"/>
      <x:c r="U466" s="42"/>
    </x:row>
    <x:row r="467">
      <x:c r="B467" s="40"/>
      <x:c r="M467" s="42"/>
      <x:c r="N467" s="42" t="str">
        <x:f>IF(OR(L467="",M467=""),"",L467*M467)</x:f>
      </x:c>
      <x:c r="O467" s="40"/>
      <x:c r="P467" s="40"/>
      <x:c r="Q467" s="40"/>
      <x:c r="U467" s="42"/>
    </x:row>
    <x:row r="468">
      <x:c r="B468" s="40"/>
      <x:c r="M468" s="42"/>
      <x:c r="N468" s="42" t="str">
        <x:f>IF(OR(L468="",M468=""),"",L468*M468)</x:f>
      </x:c>
      <x:c r="O468" s="40"/>
      <x:c r="P468" s="40"/>
      <x:c r="Q468" s="40"/>
      <x:c r="U468" s="42"/>
    </x:row>
    <x:row r="469">
      <x:c r="B469" s="40"/>
      <x:c r="M469" s="42"/>
      <x:c r="N469" s="42" t="str">
        <x:f>IF(OR(L469="",M469=""),"",L469*M469)</x:f>
      </x:c>
      <x:c r="O469" s="40"/>
      <x:c r="P469" s="40"/>
      <x:c r="Q469" s="40"/>
      <x:c r="U469" s="42"/>
    </x:row>
    <x:row r="470">
      <x:c r="B470" s="40"/>
      <x:c r="M470" s="42"/>
      <x:c r="N470" s="42" t="str">
        <x:f>IF(OR(L470="",M470=""),"",L470*M470)</x:f>
      </x:c>
      <x:c r="O470" s="40"/>
      <x:c r="P470" s="40"/>
      <x:c r="Q470" s="40"/>
      <x:c r="U470" s="42"/>
    </x:row>
    <x:row r="471">
      <x:c r="B471" s="40"/>
      <x:c r="M471" s="42"/>
      <x:c r="N471" s="42" t="str">
        <x:f>IF(OR(L471="",M471=""),"",L471*M471)</x:f>
      </x:c>
      <x:c r="O471" s="40"/>
      <x:c r="P471" s="40"/>
      <x:c r="Q471" s="40"/>
      <x:c r="U471" s="42"/>
    </x:row>
    <x:row r="472">
      <x:c r="B472" s="40"/>
      <x:c r="M472" s="42"/>
      <x:c r="N472" s="42" t="str">
        <x:f>IF(OR(L472="",M472=""),"",L472*M472)</x:f>
      </x:c>
      <x:c r="O472" s="40"/>
      <x:c r="P472" s="40"/>
      <x:c r="Q472" s="40"/>
      <x:c r="U472" s="42"/>
    </x:row>
    <x:row r="473">
      <x:c r="B473" s="40"/>
      <x:c r="M473" s="42"/>
      <x:c r="N473" s="42" t="str">
        <x:f>IF(OR(L473="",M473=""),"",L473*M473)</x:f>
      </x:c>
      <x:c r="O473" s="40"/>
      <x:c r="P473" s="40"/>
      <x:c r="Q473" s="40"/>
      <x:c r="U473" s="42"/>
    </x:row>
    <x:row r="474">
      <x:c r="B474" s="40"/>
      <x:c r="M474" s="42"/>
      <x:c r="N474" s="42" t="str">
        <x:f>IF(OR(L474="",M474=""),"",L474*M474)</x:f>
      </x:c>
      <x:c r="O474" s="40"/>
      <x:c r="P474" s="40"/>
      <x:c r="Q474" s="40"/>
      <x:c r="U474" s="42"/>
    </x:row>
    <x:row r="475">
      <x:c r="B475" s="40"/>
      <x:c r="M475" s="42"/>
      <x:c r="N475" s="42" t="str">
        <x:f>IF(OR(L475="",M475=""),"",L475*M475)</x:f>
      </x:c>
      <x:c r="O475" s="40"/>
      <x:c r="P475" s="40"/>
      <x:c r="Q475" s="40"/>
      <x:c r="U475" s="42"/>
    </x:row>
    <x:row r="476">
      <x:c r="B476" s="40"/>
      <x:c r="M476" s="42"/>
      <x:c r="N476" s="42" t="str">
        <x:f>IF(OR(L476="",M476=""),"",L476*M476)</x:f>
      </x:c>
      <x:c r="O476" s="40"/>
      <x:c r="P476" s="40"/>
      <x:c r="Q476" s="40"/>
      <x:c r="U476" s="42"/>
    </x:row>
    <x:row r="477">
      <x:c r="B477" s="40"/>
      <x:c r="M477" s="42"/>
      <x:c r="N477" s="42" t="str">
        <x:f>IF(OR(L477="",M477=""),"",L477*M477)</x:f>
      </x:c>
      <x:c r="O477" s="40"/>
      <x:c r="P477" s="40"/>
      <x:c r="Q477" s="40"/>
      <x:c r="U477" s="42"/>
    </x:row>
    <x:row r="478">
      <x:c r="B478" s="40"/>
      <x:c r="M478" s="42"/>
      <x:c r="N478" s="42" t="str">
        <x:f>IF(OR(L478="",M478=""),"",L478*M478)</x:f>
      </x:c>
      <x:c r="O478" s="40"/>
      <x:c r="P478" s="40"/>
      <x:c r="Q478" s="40"/>
      <x:c r="U478" s="42"/>
    </x:row>
    <x:row r="479">
      <x:c r="B479" s="40"/>
      <x:c r="M479" s="42"/>
      <x:c r="N479" s="42" t="str">
        <x:f>IF(OR(L479="",M479=""),"",L479*M479)</x:f>
      </x:c>
      <x:c r="O479" s="40"/>
      <x:c r="P479" s="40"/>
      <x:c r="Q479" s="40"/>
      <x:c r="U479" s="42"/>
    </x:row>
    <x:row r="480">
      <x:c r="B480" s="40"/>
      <x:c r="M480" s="42"/>
      <x:c r="N480" s="42" t="str">
        <x:f>IF(OR(L480="",M480=""),"",L480*M480)</x:f>
      </x:c>
      <x:c r="O480" s="40"/>
      <x:c r="P480" s="40"/>
      <x:c r="Q480" s="40"/>
      <x:c r="U480" s="42"/>
    </x:row>
    <x:row r="481">
      <x:c r="B481" s="40"/>
      <x:c r="M481" s="42"/>
      <x:c r="N481" s="42" t="str">
        <x:f>IF(OR(L481="",M481=""),"",L481*M481)</x:f>
      </x:c>
      <x:c r="O481" s="40"/>
      <x:c r="P481" s="40"/>
      <x:c r="Q481" s="40"/>
      <x:c r="U481" s="42"/>
    </x:row>
    <x:row r="482">
      <x:c r="B482" s="40"/>
      <x:c r="M482" s="42"/>
      <x:c r="N482" s="42" t="str">
        <x:f>IF(OR(L482="",M482=""),"",L482*M482)</x:f>
      </x:c>
      <x:c r="O482" s="40"/>
      <x:c r="P482" s="40"/>
      <x:c r="Q482" s="40"/>
      <x:c r="U482" s="42"/>
    </x:row>
    <x:row r="483">
      <x:c r="B483" s="40"/>
      <x:c r="M483" s="42"/>
      <x:c r="N483" s="42" t="str">
        <x:f>IF(OR(L483="",M483=""),"",L483*M483)</x:f>
      </x:c>
      <x:c r="O483" s="40"/>
      <x:c r="P483" s="40"/>
      <x:c r="Q483" s="40"/>
      <x:c r="U483" s="42"/>
    </x:row>
    <x:row r="484">
      <x:c r="B484" s="40"/>
      <x:c r="M484" s="42"/>
      <x:c r="N484" s="42" t="str">
        <x:f>IF(OR(L484="",M484=""),"",L484*M484)</x:f>
      </x:c>
      <x:c r="O484" s="40"/>
      <x:c r="P484" s="40"/>
      <x:c r="Q484" s="40"/>
      <x:c r="U484" s="42"/>
    </x:row>
    <x:row r="485">
      <x:c r="B485" s="40"/>
      <x:c r="M485" s="42"/>
      <x:c r="N485" s="42" t="str">
        <x:f>IF(OR(L485="",M485=""),"",L485*M485)</x:f>
      </x:c>
      <x:c r="O485" s="40"/>
      <x:c r="P485" s="40"/>
      <x:c r="Q485" s="40"/>
      <x:c r="U485" s="42"/>
    </x:row>
    <x:row r="486">
      <x:c r="B486" s="40"/>
      <x:c r="M486" s="42"/>
      <x:c r="N486" s="42" t="str">
        <x:f>IF(OR(L486="",M486=""),"",L486*M486)</x:f>
      </x:c>
      <x:c r="O486" s="40"/>
      <x:c r="P486" s="40"/>
      <x:c r="Q486" s="40"/>
      <x:c r="U486" s="42"/>
    </x:row>
    <x:row r="487">
      <x:c r="B487" s="40"/>
      <x:c r="M487" s="42"/>
      <x:c r="N487" s="42" t="str">
        <x:f>IF(OR(L487="",M487=""),"",L487*M487)</x:f>
      </x:c>
      <x:c r="O487" s="40"/>
      <x:c r="P487" s="40"/>
      <x:c r="Q487" s="40"/>
      <x:c r="U487" s="42"/>
    </x:row>
    <x:row r="488">
      <x:c r="B488" s="40"/>
      <x:c r="M488" s="42"/>
      <x:c r="N488" s="42" t="str">
        <x:f>IF(OR(L488="",M488=""),"",L488*M488)</x:f>
      </x:c>
      <x:c r="O488" s="40"/>
      <x:c r="P488" s="40"/>
      <x:c r="Q488" s="40"/>
      <x:c r="U488" s="42"/>
    </x:row>
    <x:row r="489">
      <x:c r="B489" s="40"/>
      <x:c r="M489" s="42"/>
      <x:c r="N489" s="42" t="str">
        <x:f>IF(OR(L489="",M489=""),"",L489*M489)</x:f>
      </x:c>
      <x:c r="O489" s="40"/>
      <x:c r="P489" s="40"/>
      <x:c r="Q489" s="40"/>
      <x:c r="U489" s="42"/>
    </x:row>
    <x:row r="490">
      <x:c r="B490" s="40"/>
      <x:c r="M490" s="42"/>
      <x:c r="N490" s="42" t="str">
        <x:f>IF(OR(L490="",M490=""),"",L490*M490)</x:f>
      </x:c>
      <x:c r="O490" s="40"/>
      <x:c r="P490" s="40"/>
      <x:c r="Q490" s="40"/>
      <x:c r="U490" s="42"/>
    </x:row>
    <x:row r="491">
      <x:c r="B491" s="40"/>
      <x:c r="M491" s="42"/>
      <x:c r="N491" s="42" t="str">
        <x:f>IF(OR(L491="",M491=""),"",L491*M491)</x:f>
      </x:c>
      <x:c r="O491" s="40"/>
      <x:c r="P491" s="40"/>
      <x:c r="Q491" s="40"/>
      <x:c r="U491" s="42"/>
    </x:row>
    <x:row r="492">
      <x:c r="B492" s="40"/>
      <x:c r="M492" s="42"/>
      <x:c r="N492" s="42" t="str">
        <x:f>IF(OR(L492="",M492=""),"",L492*M492)</x:f>
      </x:c>
      <x:c r="O492" s="40"/>
      <x:c r="P492" s="40"/>
      <x:c r="Q492" s="40"/>
      <x:c r="U492" s="42"/>
    </x:row>
    <x:row r="493">
      <x:c r="B493" s="40"/>
      <x:c r="M493" s="42"/>
      <x:c r="N493" s="42" t="str">
        <x:f>IF(OR(L493="",M493=""),"",L493*M493)</x:f>
      </x:c>
      <x:c r="O493" s="40"/>
      <x:c r="P493" s="40"/>
      <x:c r="Q493" s="40"/>
      <x:c r="U493" s="42"/>
    </x:row>
    <x:row r="494">
      <x:c r="B494" s="40"/>
      <x:c r="M494" s="42"/>
      <x:c r="N494" s="42" t="str">
        <x:f>IF(OR(L494="",M494=""),"",L494*M494)</x:f>
      </x:c>
      <x:c r="O494" s="40"/>
      <x:c r="P494" s="40"/>
      <x:c r="Q494" s="40"/>
      <x:c r="U494" s="42"/>
    </x:row>
    <x:row r="495">
      <x:c r="B495" s="40"/>
      <x:c r="M495" s="42"/>
      <x:c r="N495" s="42" t="str">
        <x:f>IF(OR(L495="",M495=""),"",L495*M495)</x:f>
      </x:c>
      <x:c r="O495" s="40"/>
      <x:c r="P495" s="40"/>
      <x:c r="Q495" s="40"/>
      <x:c r="U495" s="42"/>
    </x:row>
    <x:row r="496">
      <x:c r="B496" s="40"/>
      <x:c r="M496" s="42"/>
      <x:c r="N496" s="42" t="str">
        <x:f>IF(OR(L496="",M496=""),"",L496*M496)</x:f>
      </x:c>
      <x:c r="O496" s="40"/>
      <x:c r="P496" s="40"/>
      <x:c r="Q496" s="40"/>
      <x:c r="U496" s="42"/>
    </x:row>
    <x:row r="497">
      <x:c r="B497" s="40"/>
      <x:c r="M497" s="42"/>
      <x:c r="N497" s="42" t="str">
        <x:f>IF(OR(L497="",M497=""),"",L497*M497)</x:f>
      </x:c>
      <x:c r="O497" s="40"/>
      <x:c r="P497" s="40"/>
      <x:c r="Q497" s="40"/>
      <x:c r="U497" s="42"/>
    </x:row>
    <x:row r="498">
      <x:c r="B498" s="40"/>
      <x:c r="M498" s="42"/>
      <x:c r="N498" s="42" t="str">
        <x:f>IF(OR(L498="",M498=""),"",L498*M498)</x:f>
      </x:c>
      <x:c r="O498" s="40"/>
      <x:c r="P498" s="40"/>
      <x:c r="Q498" s="40"/>
      <x:c r="U498" s="42"/>
    </x:row>
    <x:row r="499">
      <x:c r="B499" s="40"/>
      <x:c r="M499" s="42"/>
      <x:c r="N499" s="42" t="str">
        <x:f>IF(OR(L499="",M499=""),"",L499*M499)</x:f>
      </x:c>
      <x:c r="O499" s="40"/>
      <x:c r="P499" s="40"/>
      <x:c r="Q499" s="40"/>
      <x:c r="U499" s="42"/>
    </x:row>
    <x:row r="500">
      <x:c r="B500" s="40"/>
      <x:c r="M500" s="42"/>
      <x:c r="N500" s="42" t="str">
        <x:f>IF(OR(L500="",M500=""),"",L500*M500)</x:f>
      </x:c>
      <x:c r="O500" s="40"/>
      <x:c r="P500" s="40"/>
      <x:c r="Q500" s="40"/>
      <x:c r="U500" s="42"/>
    </x:row>
    <x:row r="501">
      <x:c r="B501" s="40"/>
      <x:c r="M501" s="42"/>
      <x:c r="N501" s="42" t="str">
        <x:f>IF(OR(L501="",M501=""),"",L501*M501)</x:f>
      </x:c>
      <x:c r="O501" s="40"/>
      <x:c r="P501" s="40"/>
      <x:c r="Q501" s="40"/>
      <x:c r="U501" s="42"/>
    </x:row>
    <x:row r="502">
      <x:c r="B502" s="40"/>
      <x:c r="M502" s="42"/>
      <x:c r="N502" s="42" t="str">
        <x:f>IF(OR(L502="",M502=""),"",L502*M502)</x:f>
      </x:c>
      <x:c r="O502" s="40"/>
      <x:c r="P502" s="40"/>
      <x:c r="Q502" s="40"/>
      <x:c r="U502" s="42"/>
    </x:row>
    <x:row r="503">
      <x:c r="B503" s="40"/>
      <x:c r="M503" s="42"/>
      <x:c r="N503" s="42" t="str">
        <x:f>IF(OR(L503="",M503=""),"",L503*M503)</x:f>
      </x:c>
      <x:c r="O503" s="40"/>
      <x:c r="P503" s="40"/>
      <x:c r="Q503" s="40"/>
      <x:c r="U503" s="42"/>
    </x:row>
    <x:row r="504">
      <x:c r="B504" s="40"/>
      <x:c r="M504" s="42"/>
      <x:c r="N504" s="42" t="str">
        <x:f>IF(OR(L504="",M504=""),"",L504*M504)</x:f>
      </x:c>
      <x:c r="O504" s="40"/>
      <x:c r="P504" s="40"/>
      <x:c r="Q504" s="40"/>
      <x:c r="U504" s="42"/>
    </x:row>
    <x:row r="505">
      <x:c r="B505" s="40"/>
      <x:c r="M505" s="42"/>
      <x:c r="N505" s="42" t="str">
        <x:f>IF(OR(L505="",M505=""),"",L505*M505)</x:f>
      </x:c>
      <x:c r="O505" s="40"/>
      <x:c r="P505" s="40"/>
      <x:c r="Q505" s="40"/>
      <x:c r="U505" s="42"/>
    </x:row>
    <x:row r="506">
      <x:c r="B506" s="40"/>
      <x:c r="M506" s="42"/>
      <x:c r="N506" s="42" t="str">
        <x:f>IF(OR(L506="",M506=""),"",L506*M506)</x:f>
      </x:c>
      <x:c r="O506" s="40"/>
      <x:c r="P506" s="40"/>
      <x:c r="Q506" s="40"/>
      <x:c r="U506" s="42"/>
    </x:row>
    <x:row r="507">
      <x:c r="B507" s="40"/>
      <x:c r="M507" s="42"/>
      <x:c r="N507" s="42" t="str">
        <x:f>IF(OR(L507="",M507=""),"",L507*M507)</x:f>
      </x:c>
      <x:c r="O507" s="40"/>
      <x:c r="P507" s="40"/>
      <x:c r="Q507" s="40"/>
      <x:c r="U507" s="42"/>
    </x:row>
    <x:row r="508">
      <x:c r="B508" s="40"/>
      <x:c r="M508" s="42"/>
      <x:c r="N508" s="42" t="str">
        <x:f>IF(OR(L508="",M508=""),"",L508*M508)</x:f>
      </x:c>
      <x:c r="O508" s="40"/>
      <x:c r="P508" s="40"/>
      <x:c r="Q508" s="40"/>
      <x:c r="U508" s="42"/>
    </x:row>
    <x:row r="509">
      <x:c r="B509" s="40"/>
      <x:c r="M509" s="42"/>
      <x:c r="N509" s="42" t="str">
        <x:f>IF(OR(L509="",M509=""),"",L509*M509)</x:f>
      </x:c>
      <x:c r="O509" s="40"/>
      <x:c r="P509" s="40"/>
      <x:c r="Q509" s="40"/>
      <x:c r="U509" s="42"/>
    </x:row>
    <x:row r="510">
      <x:c r="B510" s="40"/>
      <x:c r="M510" s="42"/>
      <x:c r="N510" s="42" t="str">
        <x:f>IF(OR(L510="",M510=""),"",L510*M510)</x:f>
      </x:c>
      <x:c r="O510" s="40"/>
      <x:c r="P510" s="40"/>
      <x:c r="Q510" s="40"/>
      <x:c r="U510" s="42"/>
    </x:row>
    <x:row r="511">
      <x:c r="B511" s="40"/>
      <x:c r="M511" s="42"/>
      <x:c r="N511" s="42" t="str">
        <x:f>IF(OR(L511="",M511=""),"",L511*M511)</x:f>
      </x:c>
      <x:c r="O511" s="40"/>
      <x:c r="P511" s="40"/>
      <x:c r="Q511" s="40"/>
      <x:c r="U511" s="42"/>
    </x:row>
    <x:row r="512">
      <x:c r="B512" s="40"/>
      <x:c r="M512" s="42"/>
      <x:c r="N512" s="42" t="str">
        <x:f>IF(OR(L512="",M512=""),"",L512*M512)</x:f>
      </x:c>
      <x:c r="O512" s="40"/>
      <x:c r="P512" s="40"/>
      <x:c r="Q512" s="40"/>
      <x:c r="U512" s="42"/>
    </x:row>
    <x:row r="513">
      <x:c r="B513" s="40"/>
      <x:c r="M513" s="42"/>
      <x:c r="N513" s="42" t="str">
        <x:f>IF(OR(L513="",M513=""),"",L513*M513)</x:f>
      </x:c>
      <x:c r="O513" s="40"/>
      <x:c r="P513" s="40"/>
      <x:c r="Q513" s="40"/>
      <x:c r="U513" s="42"/>
    </x:row>
    <x:row r="514">
      <x:c r="B514" s="40"/>
      <x:c r="M514" s="42"/>
      <x:c r="N514" s="42" t="str">
        <x:f>IF(OR(L514="",M514=""),"",L514*M514)</x:f>
      </x:c>
      <x:c r="O514" s="40"/>
      <x:c r="P514" s="40"/>
      <x:c r="Q514" s="40"/>
      <x:c r="U514" s="42"/>
    </x:row>
    <x:row r="515">
      <x:c r="B515" s="40"/>
      <x:c r="M515" s="42"/>
      <x:c r="N515" s="42" t="str">
        <x:f>IF(OR(L515="",M515=""),"",L515*M515)</x:f>
      </x:c>
      <x:c r="O515" s="40"/>
      <x:c r="P515" s="40"/>
      <x:c r="Q515" s="40"/>
      <x:c r="U515" s="42"/>
    </x:row>
    <x:row r="516">
      <x:c r="B516" s="40"/>
      <x:c r="M516" s="42"/>
      <x:c r="N516" s="42" t="str">
        <x:f>IF(OR(L516="",M516=""),"",L516*M516)</x:f>
      </x:c>
      <x:c r="O516" s="40"/>
      <x:c r="P516" s="40"/>
      <x:c r="Q516" s="40"/>
      <x:c r="U516" s="42"/>
    </x:row>
    <x:row r="517">
      <x:c r="B517" s="40"/>
      <x:c r="M517" s="42"/>
      <x:c r="N517" s="42" t="str">
        <x:f>IF(OR(L517="",M517=""),"",L517*M517)</x:f>
      </x:c>
      <x:c r="O517" s="40"/>
      <x:c r="P517" s="40"/>
      <x:c r="Q517" s="40"/>
      <x:c r="U517" s="42"/>
    </x:row>
    <x:row r="518">
      <x:c r="B518" s="40"/>
      <x:c r="M518" s="42"/>
      <x:c r="N518" s="42" t="str">
        <x:f>IF(OR(L518="",M518=""),"",L518*M518)</x:f>
      </x:c>
      <x:c r="O518" s="40"/>
      <x:c r="P518" s="40"/>
      <x:c r="Q518" s="40"/>
      <x:c r="U518" s="42"/>
    </x:row>
    <x:row r="519">
      <x:c r="B519" s="40"/>
      <x:c r="M519" s="42"/>
      <x:c r="N519" s="42" t="str">
        <x:f>IF(OR(L519="",M519=""),"",L519*M519)</x:f>
      </x:c>
      <x:c r="O519" s="40"/>
      <x:c r="P519" s="40"/>
      <x:c r="Q519" s="40"/>
      <x:c r="U519" s="42"/>
    </x:row>
    <x:row r="520">
      <x:c r="B520" s="40"/>
      <x:c r="M520" s="42"/>
      <x:c r="N520" s="42" t="str">
        <x:f>IF(OR(L520="",M520=""),"",L520*M520)</x:f>
      </x:c>
      <x:c r="O520" s="40"/>
      <x:c r="P520" s="40"/>
      <x:c r="Q520" s="40"/>
      <x:c r="U520" s="42"/>
    </x:row>
    <x:row r="521">
      <x:c r="B521" s="40"/>
      <x:c r="M521" s="42"/>
      <x:c r="N521" s="42" t="str">
        <x:f>IF(OR(L521="",M521=""),"",L521*M521)</x:f>
      </x:c>
      <x:c r="O521" s="40"/>
      <x:c r="P521" s="40"/>
      <x:c r="Q521" s="40"/>
      <x:c r="U521" s="42"/>
    </x:row>
    <x:row r="522">
      <x:c r="B522" s="40"/>
      <x:c r="M522" s="42"/>
      <x:c r="N522" s="42" t="str">
        <x:f>IF(OR(L522="",M522=""),"",L522*M522)</x:f>
      </x:c>
      <x:c r="O522" s="40"/>
      <x:c r="P522" s="40"/>
      <x:c r="Q522" s="40"/>
      <x:c r="U522" s="42"/>
    </x:row>
    <x:row r="523">
      <x:c r="B523" s="40"/>
      <x:c r="M523" s="42"/>
      <x:c r="N523" s="42" t="str">
        <x:f>IF(OR(L523="",M523=""),"",L523*M523)</x:f>
      </x:c>
      <x:c r="O523" s="40"/>
      <x:c r="P523" s="40"/>
      <x:c r="Q523" s="40"/>
      <x:c r="U523" s="42"/>
    </x:row>
    <x:row r="524">
      <x:c r="B524" s="40"/>
      <x:c r="M524" s="42"/>
      <x:c r="N524" s="42" t="str">
        <x:f>IF(OR(L524="",M524=""),"",L524*M524)</x:f>
      </x:c>
      <x:c r="O524" s="40"/>
      <x:c r="P524" s="40"/>
      <x:c r="Q524" s="40"/>
      <x:c r="U524" s="42"/>
    </x:row>
    <x:row r="525">
      <x:c r="B525" s="40"/>
      <x:c r="M525" s="42"/>
      <x:c r="N525" s="42" t="str">
        <x:f>IF(OR(L525="",M525=""),"",L525*M525)</x:f>
      </x:c>
      <x:c r="O525" s="40"/>
      <x:c r="P525" s="40"/>
      <x:c r="Q525" s="40"/>
      <x:c r="U525" s="42"/>
    </x:row>
    <x:row r="526">
      <x:c r="B526" s="40"/>
      <x:c r="M526" s="42"/>
      <x:c r="N526" s="42" t="str">
        <x:f>IF(OR(L526="",M526=""),"",L526*M526)</x:f>
      </x:c>
      <x:c r="O526" s="40"/>
      <x:c r="P526" s="40"/>
      <x:c r="Q526" s="40"/>
      <x:c r="U526" s="42"/>
    </x:row>
    <x:row r="527">
      <x:c r="B527" s="40"/>
      <x:c r="M527" s="42"/>
      <x:c r="N527" s="42" t="str">
        <x:f>IF(OR(L527="",M527=""),"",L527*M527)</x:f>
      </x:c>
      <x:c r="O527" s="40"/>
      <x:c r="P527" s="40"/>
      <x:c r="Q527" s="40"/>
      <x:c r="U527" s="42"/>
    </x:row>
    <x:row r="528">
      <x:c r="B528" s="40"/>
      <x:c r="M528" s="42"/>
      <x:c r="N528" s="42" t="str">
        <x:f>IF(OR(L528="",M528=""),"",L528*M528)</x:f>
      </x:c>
      <x:c r="O528" s="40"/>
      <x:c r="P528" s="40"/>
      <x:c r="Q528" s="40"/>
      <x:c r="U528" s="42"/>
    </x:row>
    <x:row r="529">
      <x:c r="B529" s="40"/>
      <x:c r="M529" s="42"/>
      <x:c r="N529" s="42" t="str">
        <x:f>IF(OR(L529="",M529=""),"",L529*M529)</x:f>
      </x:c>
      <x:c r="O529" s="40"/>
      <x:c r="P529" s="40"/>
      <x:c r="Q529" s="40"/>
      <x:c r="U529" s="42"/>
    </x:row>
    <x:row r="530">
      <x:c r="B530" s="40"/>
      <x:c r="M530" s="42"/>
      <x:c r="N530" s="42" t="str">
        <x:f>IF(OR(L530="",M530=""),"",L530*M530)</x:f>
      </x:c>
      <x:c r="O530" s="40"/>
      <x:c r="P530" s="40"/>
      <x:c r="Q530" s="40"/>
      <x:c r="U530" s="42"/>
    </x:row>
    <x:row r="531">
      <x:c r="B531" s="40"/>
      <x:c r="M531" s="42"/>
      <x:c r="N531" s="42" t="str">
        <x:f>IF(OR(L531="",M531=""),"",L531*M531)</x:f>
      </x:c>
      <x:c r="O531" s="40"/>
      <x:c r="P531" s="40"/>
      <x:c r="Q531" s="40"/>
      <x:c r="U531" s="42"/>
    </x:row>
    <x:row r="532">
      <x:c r="B532" s="40"/>
      <x:c r="M532" s="42"/>
      <x:c r="N532" s="42" t="str">
        <x:f>IF(OR(L532="",M532=""),"",L532*M532)</x:f>
      </x:c>
      <x:c r="O532" s="40"/>
      <x:c r="P532" s="40"/>
      <x:c r="Q532" s="40"/>
      <x:c r="U532" s="42"/>
    </x:row>
    <x:row r="533">
      <x:c r="B533" s="40"/>
      <x:c r="M533" s="42"/>
      <x:c r="N533" s="42" t="str">
        <x:f>IF(OR(L533="",M533=""),"",L533*M533)</x:f>
      </x:c>
      <x:c r="O533" s="40"/>
      <x:c r="P533" s="40"/>
      <x:c r="Q533" s="40"/>
      <x:c r="U533" s="42"/>
    </x:row>
    <x:row r="534">
      <x:c r="B534" s="40"/>
      <x:c r="M534" s="42"/>
      <x:c r="N534" s="42" t="str">
        <x:f>IF(OR(L534="",M534=""),"",L534*M534)</x:f>
      </x:c>
      <x:c r="O534" s="40"/>
      <x:c r="P534" s="40"/>
      <x:c r="Q534" s="40"/>
      <x:c r="U534" s="42"/>
    </x:row>
    <x:row r="535">
      <x:c r="B535" s="40"/>
      <x:c r="M535" s="42"/>
      <x:c r="N535" s="42" t="str">
        <x:f>IF(OR(L535="",M535=""),"",L535*M535)</x:f>
      </x:c>
      <x:c r="O535" s="40"/>
      <x:c r="P535" s="40"/>
      <x:c r="Q535" s="40"/>
      <x:c r="U535" s="42"/>
    </x:row>
    <x:row r="536">
      <x:c r="B536" s="40"/>
      <x:c r="M536" s="42"/>
      <x:c r="N536" s="42" t="str">
        <x:f>IF(OR(L536="",M536=""),"",L536*M536)</x:f>
      </x:c>
      <x:c r="O536" s="40"/>
      <x:c r="P536" s="40"/>
      <x:c r="Q536" s="40"/>
      <x:c r="U536" s="42"/>
    </x:row>
    <x:row r="537">
      <x:c r="B537" s="40"/>
      <x:c r="M537" s="42"/>
      <x:c r="N537" s="42" t="str">
        <x:f>IF(OR(L537="",M537=""),"",L537*M537)</x:f>
      </x:c>
      <x:c r="O537" s="40"/>
      <x:c r="P537" s="40"/>
      <x:c r="Q537" s="40"/>
      <x:c r="U537" s="42"/>
    </x:row>
    <x:row r="538">
      <x:c r="B538" s="40"/>
      <x:c r="M538" s="42"/>
      <x:c r="N538" s="42" t="str">
        <x:f>IF(OR(L538="",M538=""),"",L538*M538)</x:f>
      </x:c>
      <x:c r="O538" s="40"/>
      <x:c r="P538" s="40"/>
      <x:c r="Q538" s="40"/>
      <x:c r="U538" s="42"/>
    </x:row>
    <x:row r="539">
      <x:c r="B539" s="40"/>
      <x:c r="M539" s="42"/>
      <x:c r="N539" s="42" t="str">
        <x:f>IF(OR(L539="",M539=""),"",L539*M539)</x:f>
      </x:c>
      <x:c r="O539" s="40"/>
      <x:c r="P539" s="40"/>
      <x:c r="Q539" s="40"/>
      <x:c r="U539" s="42"/>
    </x:row>
    <x:row r="540">
      <x:c r="B540" s="40"/>
      <x:c r="M540" s="42"/>
      <x:c r="N540" s="42" t="str">
        <x:f>IF(OR(L540="",M540=""),"",L540*M540)</x:f>
      </x:c>
      <x:c r="O540" s="40"/>
      <x:c r="P540" s="40"/>
      <x:c r="Q540" s="40"/>
      <x:c r="U540" s="42"/>
    </x:row>
    <x:row r="541">
      <x:c r="B541" s="40"/>
      <x:c r="M541" s="42"/>
      <x:c r="N541" s="42" t="str">
        <x:f>IF(OR(L541="",M541=""),"",L541*M541)</x:f>
      </x:c>
      <x:c r="O541" s="40"/>
      <x:c r="P541" s="40"/>
      <x:c r="Q541" s="40"/>
      <x:c r="U541" s="42"/>
    </x:row>
    <x:row r="542">
      <x:c r="B542" s="40"/>
      <x:c r="M542" s="42"/>
      <x:c r="N542" s="42" t="str">
        <x:f>IF(OR(L542="",M542=""),"",L542*M542)</x:f>
      </x:c>
      <x:c r="O542" s="40"/>
      <x:c r="P542" s="40"/>
      <x:c r="Q542" s="40"/>
      <x:c r="U542" s="42"/>
    </x:row>
    <x:row r="543">
      <x:c r="B543" s="40"/>
      <x:c r="M543" s="42"/>
      <x:c r="N543" s="42" t="str">
        <x:f>IF(OR(L543="",M543=""),"",L543*M543)</x:f>
      </x:c>
      <x:c r="O543" s="40"/>
      <x:c r="P543" s="40"/>
      <x:c r="Q543" s="40"/>
      <x:c r="U543" s="42"/>
    </x:row>
    <x:row r="544">
      <x:c r="B544" s="40"/>
      <x:c r="M544" s="42"/>
      <x:c r="N544" s="42" t="str">
        <x:f>IF(OR(L544="",M544=""),"",L544*M544)</x:f>
      </x:c>
      <x:c r="O544" s="40"/>
      <x:c r="P544" s="40"/>
      <x:c r="Q544" s="40"/>
      <x:c r="U544" s="42"/>
    </x:row>
    <x:row r="545">
      <x:c r="B545" s="40"/>
      <x:c r="M545" s="42"/>
      <x:c r="N545" s="42" t="str">
        <x:f>IF(OR(L545="",M545=""),"",L545*M545)</x:f>
      </x:c>
      <x:c r="O545" s="40"/>
      <x:c r="P545" s="40"/>
      <x:c r="Q545" s="40"/>
      <x:c r="U545" s="42"/>
    </x:row>
    <x:row r="546">
      <x:c r="B546" s="40"/>
      <x:c r="M546" s="42"/>
      <x:c r="N546" s="42" t="str">
        <x:f>IF(OR(L546="",M546=""),"",L546*M546)</x:f>
      </x:c>
      <x:c r="O546" s="40"/>
      <x:c r="P546" s="40"/>
      <x:c r="Q546" s="40"/>
      <x:c r="U546" s="42"/>
    </x:row>
    <x:row r="547">
      <x:c r="B547" s="40"/>
      <x:c r="M547" s="42"/>
      <x:c r="N547" s="42" t="str">
        <x:f>IF(OR(L547="",M547=""),"",L547*M547)</x:f>
      </x:c>
      <x:c r="O547" s="40"/>
      <x:c r="P547" s="40"/>
      <x:c r="Q547" s="40"/>
      <x:c r="U547" s="42"/>
    </x:row>
    <x:row r="548">
      <x:c r="B548" s="40"/>
      <x:c r="M548" s="42"/>
      <x:c r="N548" s="42" t="str">
        <x:f>IF(OR(L548="",M548=""),"",L548*M548)</x:f>
      </x:c>
      <x:c r="O548" s="40"/>
      <x:c r="P548" s="40"/>
      <x:c r="Q548" s="40"/>
      <x:c r="U548" s="42"/>
    </x:row>
    <x:row r="549">
      <x:c r="B549" s="40"/>
      <x:c r="M549" s="42"/>
      <x:c r="N549" s="42" t="str">
        <x:f>IF(OR(L549="",M549=""),"",L549*M549)</x:f>
      </x:c>
      <x:c r="O549" s="40"/>
      <x:c r="P549" s="40"/>
      <x:c r="Q549" s="40"/>
      <x:c r="U549" s="42"/>
    </x:row>
    <x:row r="550">
      <x:c r="B550" s="40"/>
      <x:c r="M550" s="42"/>
      <x:c r="N550" s="42" t="str">
        <x:f>IF(OR(L550="",M550=""),"",L550*M550)</x:f>
      </x:c>
      <x:c r="O550" s="40"/>
      <x:c r="P550" s="40"/>
      <x:c r="Q550" s="40"/>
      <x:c r="U550" s="42"/>
    </x:row>
    <x:row r="551">
      <x:c r="B551" s="40"/>
      <x:c r="M551" s="42"/>
      <x:c r="N551" s="42" t="str">
        <x:f>IF(OR(L551="",M551=""),"",L551*M551)</x:f>
      </x:c>
      <x:c r="O551" s="40"/>
      <x:c r="P551" s="40"/>
      <x:c r="Q551" s="40"/>
      <x:c r="U551" s="42"/>
    </x:row>
    <x:row r="552">
      <x:c r="B552" s="40"/>
      <x:c r="M552" s="42"/>
      <x:c r="N552" s="42" t="str">
        <x:f>IF(OR(L552="",M552=""),"",L552*M552)</x:f>
      </x:c>
      <x:c r="O552" s="40"/>
      <x:c r="P552" s="40"/>
      <x:c r="Q552" s="40"/>
      <x:c r="U552" s="42"/>
    </x:row>
    <x:row r="553">
      <x:c r="B553" s="40"/>
      <x:c r="M553" s="42"/>
      <x:c r="N553" s="42" t="str">
        <x:f>IF(OR(L553="",M553=""),"",L553*M553)</x:f>
      </x:c>
      <x:c r="O553" s="40"/>
      <x:c r="P553" s="40"/>
      <x:c r="Q553" s="40"/>
      <x:c r="U553" s="42"/>
    </x:row>
    <x:row r="554">
      <x:c r="B554" s="40"/>
      <x:c r="M554" s="42"/>
      <x:c r="N554" s="42" t="str">
        <x:f>IF(OR(L554="",M554=""),"",L554*M554)</x:f>
      </x:c>
      <x:c r="O554" s="40"/>
      <x:c r="P554" s="40"/>
      <x:c r="Q554" s="40"/>
      <x:c r="U554" s="42"/>
    </x:row>
    <x:row r="555">
      <x:c r="B555" s="40"/>
      <x:c r="M555" s="42"/>
      <x:c r="N555" s="42" t="str">
        <x:f>IF(OR(L555="",M555=""),"",L555*M555)</x:f>
      </x:c>
      <x:c r="O555" s="40"/>
      <x:c r="P555" s="40"/>
      <x:c r="Q555" s="40"/>
      <x:c r="U555" s="42"/>
    </x:row>
    <x:row r="556">
      <x:c r="B556" s="40"/>
      <x:c r="M556" s="42"/>
      <x:c r="N556" s="42" t="str">
        <x:f>IF(OR(L556="",M556=""),"",L556*M556)</x:f>
      </x:c>
      <x:c r="O556" s="40"/>
      <x:c r="P556" s="40"/>
      <x:c r="Q556" s="40"/>
      <x:c r="U556" s="42"/>
    </x:row>
    <x:row r="557">
      <x:c r="B557" s="40"/>
      <x:c r="M557" s="42"/>
      <x:c r="N557" s="42" t="str">
        <x:f>IF(OR(L557="",M557=""),"",L557*M557)</x:f>
      </x:c>
      <x:c r="O557" s="40"/>
      <x:c r="P557" s="40"/>
      <x:c r="Q557" s="40"/>
      <x:c r="U557" s="42"/>
    </x:row>
    <x:row r="558">
      <x:c r="B558" s="40"/>
      <x:c r="M558" s="42"/>
      <x:c r="N558" s="42" t="str">
        <x:f>IF(OR(L558="",M558=""),"",L558*M558)</x:f>
      </x:c>
      <x:c r="O558" s="40"/>
      <x:c r="P558" s="40"/>
      <x:c r="Q558" s="40"/>
      <x:c r="U558" s="42"/>
    </x:row>
    <x:row r="559">
      <x:c r="B559" s="40"/>
      <x:c r="M559" s="42"/>
      <x:c r="N559" s="42" t="str">
        <x:f>IF(OR(L559="",M559=""),"",L559*M559)</x:f>
      </x:c>
      <x:c r="O559" s="40"/>
      <x:c r="P559" s="40"/>
      <x:c r="Q559" s="40"/>
      <x:c r="U559" s="42"/>
    </x:row>
    <x:row r="560">
      <x:c r="B560" s="40"/>
      <x:c r="M560" s="42"/>
      <x:c r="N560" s="42" t="str">
        <x:f>IF(OR(L560="",M560=""),"",L560*M560)</x:f>
      </x:c>
      <x:c r="O560" s="40"/>
      <x:c r="P560" s="40"/>
      <x:c r="Q560" s="40"/>
      <x:c r="U560" s="42"/>
    </x:row>
    <x:row r="561">
      <x:c r="B561" s="40"/>
      <x:c r="M561" s="42"/>
      <x:c r="N561" s="42" t="str">
        <x:f>IF(OR(L561="",M561=""),"",L561*M561)</x:f>
      </x:c>
      <x:c r="O561" s="40"/>
      <x:c r="P561" s="40"/>
      <x:c r="Q561" s="40"/>
      <x:c r="U561" s="42"/>
    </x:row>
    <x:row r="562">
      <x:c r="B562" s="40"/>
      <x:c r="M562" s="42"/>
      <x:c r="N562" s="42" t="str">
        <x:f>IF(OR(L562="",M562=""),"",L562*M562)</x:f>
      </x:c>
      <x:c r="O562" s="40"/>
      <x:c r="P562" s="40"/>
      <x:c r="Q562" s="40"/>
      <x:c r="U562" s="42"/>
    </x:row>
    <x:row r="563">
      <x:c r="B563" s="40"/>
      <x:c r="M563" s="42"/>
      <x:c r="N563" s="42" t="str">
        <x:f>IF(OR(L563="",M563=""),"",L563*M563)</x:f>
      </x:c>
      <x:c r="O563" s="40"/>
      <x:c r="P563" s="40"/>
      <x:c r="Q563" s="40"/>
      <x:c r="U563" s="42"/>
    </x:row>
    <x:row r="564">
      <x:c r="B564" s="40"/>
      <x:c r="M564" s="42"/>
      <x:c r="N564" s="42" t="str">
        <x:f>IF(OR(L564="",M564=""),"",L564*M564)</x:f>
      </x:c>
      <x:c r="O564" s="40"/>
      <x:c r="P564" s="40"/>
      <x:c r="Q564" s="40"/>
      <x:c r="U564" s="42"/>
    </x:row>
    <x:row r="565">
      <x:c r="B565" s="40"/>
      <x:c r="M565" s="42"/>
      <x:c r="N565" s="42" t="str">
        <x:f>IF(OR(L565="",M565=""),"",L565*M565)</x:f>
      </x:c>
      <x:c r="O565" s="40"/>
      <x:c r="P565" s="40"/>
      <x:c r="Q565" s="40"/>
      <x:c r="U565" s="42"/>
    </x:row>
    <x:row r="566">
      <x:c r="B566" s="40"/>
      <x:c r="M566" s="42"/>
      <x:c r="N566" s="42" t="str">
        <x:f>IF(OR(L566="",M566=""),"",L566*M566)</x:f>
      </x:c>
      <x:c r="O566" s="40"/>
      <x:c r="P566" s="40"/>
      <x:c r="Q566" s="40"/>
      <x:c r="U566" s="42"/>
    </x:row>
    <x:row r="567">
      <x:c r="B567" s="40"/>
      <x:c r="M567" s="42"/>
      <x:c r="N567" s="42" t="str">
        <x:f>IF(OR(L567="",M567=""),"",L567*M567)</x:f>
      </x:c>
      <x:c r="O567" s="40"/>
      <x:c r="P567" s="40"/>
      <x:c r="Q567" s="40"/>
      <x:c r="U567" s="42"/>
    </x:row>
    <x:row r="568">
      <x:c r="B568" s="40"/>
      <x:c r="M568" s="42"/>
      <x:c r="N568" s="42" t="str">
        <x:f>IF(OR(L568="",M568=""),"",L568*M568)</x:f>
      </x:c>
      <x:c r="O568" s="40"/>
      <x:c r="P568" s="40"/>
      <x:c r="Q568" s="40"/>
      <x:c r="U568" s="42"/>
    </x:row>
    <x:row r="569">
      <x:c r="B569" s="40"/>
      <x:c r="M569" s="42"/>
      <x:c r="N569" s="42" t="str">
        <x:f>IF(OR(L569="",M569=""),"",L569*M569)</x:f>
      </x:c>
      <x:c r="O569" s="40"/>
      <x:c r="P569" s="40"/>
      <x:c r="Q569" s="40"/>
      <x:c r="U569" s="42"/>
    </x:row>
    <x:row r="570">
      <x:c r="B570" s="40"/>
      <x:c r="M570" s="42"/>
      <x:c r="N570" s="42" t="str">
        <x:f>IF(OR(L570="",M570=""),"",L570*M570)</x:f>
      </x:c>
      <x:c r="O570" s="40"/>
      <x:c r="P570" s="40"/>
      <x:c r="Q570" s="40"/>
      <x:c r="U570" s="42"/>
    </x:row>
    <x:row r="571">
      <x:c r="B571" s="40"/>
      <x:c r="M571" s="42"/>
      <x:c r="N571" s="42" t="str">
        <x:f>IF(OR(L571="",M571=""),"",L571*M571)</x:f>
      </x:c>
      <x:c r="O571" s="40"/>
      <x:c r="P571" s="40"/>
      <x:c r="Q571" s="40"/>
      <x:c r="U571" s="42"/>
    </x:row>
    <x:row r="572">
      <x:c r="B572" s="40"/>
      <x:c r="M572" s="42"/>
      <x:c r="N572" s="42" t="str">
        <x:f>IF(OR(L572="",M572=""),"",L572*M572)</x:f>
      </x:c>
      <x:c r="O572" s="40"/>
      <x:c r="P572" s="40"/>
      <x:c r="Q572" s="40"/>
      <x:c r="U572" s="42"/>
    </x:row>
    <x:row r="573">
      <x:c r="B573" s="40"/>
      <x:c r="M573" s="42"/>
      <x:c r="N573" s="42" t="str">
        <x:f>IF(OR(L573="",M573=""),"",L573*M573)</x:f>
      </x:c>
      <x:c r="O573" s="40"/>
      <x:c r="P573" s="40"/>
      <x:c r="Q573" s="40"/>
      <x:c r="U573" s="42"/>
    </x:row>
    <x:row r="574">
      <x:c r="B574" s="40"/>
      <x:c r="M574" s="42"/>
      <x:c r="N574" s="42" t="str">
        <x:f>IF(OR(L574="",M574=""),"",L574*M574)</x:f>
      </x:c>
      <x:c r="O574" s="40"/>
      <x:c r="P574" s="40"/>
      <x:c r="Q574" s="40"/>
      <x:c r="U574" s="42"/>
    </x:row>
    <x:row r="575">
      <x:c r="B575" s="40"/>
      <x:c r="M575" s="42"/>
      <x:c r="N575" s="42" t="str">
        <x:f>IF(OR(L575="",M575=""),"",L575*M575)</x:f>
      </x:c>
      <x:c r="O575" s="40"/>
      <x:c r="P575" s="40"/>
      <x:c r="Q575" s="40"/>
      <x:c r="U575" s="42"/>
    </x:row>
    <x:row r="576">
      <x:c r="B576" s="40"/>
      <x:c r="M576" s="42"/>
      <x:c r="N576" s="42" t="str">
        <x:f>IF(OR(L576="",M576=""),"",L576*M576)</x:f>
      </x:c>
      <x:c r="O576" s="40"/>
      <x:c r="P576" s="40"/>
      <x:c r="Q576" s="40"/>
      <x:c r="U576" s="42"/>
    </x:row>
    <x:row r="577">
      <x:c r="B577" s="40"/>
      <x:c r="M577" s="42"/>
      <x:c r="N577" s="42" t="str">
        <x:f>IF(OR(L577="",M577=""),"",L577*M577)</x:f>
      </x:c>
      <x:c r="O577" s="40"/>
      <x:c r="P577" s="40"/>
      <x:c r="Q577" s="40"/>
      <x:c r="U577" s="42"/>
    </x:row>
    <x:row r="578">
      <x:c r="B578" s="40"/>
      <x:c r="M578" s="42"/>
      <x:c r="N578" s="42" t="str">
        <x:f>IF(OR(L578="",M578=""),"",L578*M578)</x:f>
      </x:c>
      <x:c r="O578" s="40"/>
      <x:c r="P578" s="40"/>
      <x:c r="Q578" s="40"/>
      <x:c r="U578" s="42"/>
    </x:row>
    <x:row r="579">
      <x:c r="B579" s="40"/>
      <x:c r="M579" s="42"/>
      <x:c r="N579" s="42" t="str">
        <x:f>IF(OR(L579="",M579=""),"",L579*M579)</x:f>
      </x:c>
      <x:c r="O579" s="40"/>
      <x:c r="P579" s="40"/>
      <x:c r="Q579" s="40"/>
      <x:c r="U579" s="42"/>
    </x:row>
    <x:row r="580">
      <x:c r="B580" s="40"/>
      <x:c r="M580" s="42"/>
      <x:c r="N580" s="42" t="str">
        <x:f>IF(OR(L580="",M580=""),"",L580*M580)</x:f>
      </x:c>
      <x:c r="O580" s="40"/>
      <x:c r="P580" s="40"/>
      <x:c r="Q580" s="40"/>
      <x:c r="U580" s="42"/>
    </x:row>
    <x:row r="581">
      <x:c r="B581" s="40"/>
      <x:c r="M581" s="42"/>
      <x:c r="N581" s="42" t="str">
        <x:f>IF(OR(L581="",M581=""),"",L581*M581)</x:f>
      </x:c>
      <x:c r="O581" s="40"/>
      <x:c r="P581" s="40"/>
      <x:c r="Q581" s="40"/>
      <x:c r="U581" s="42"/>
    </x:row>
    <x:row r="582">
      <x:c r="B582" s="40"/>
      <x:c r="M582" s="42"/>
      <x:c r="N582" s="42" t="str">
        <x:f>IF(OR(L582="",M582=""),"",L582*M582)</x:f>
      </x:c>
      <x:c r="O582" s="40"/>
      <x:c r="P582" s="40"/>
      <x:c r="Q582" s="40"/>
      <x:c r="U582" s="42"/>
    </x:row>
    <x:row r="583">
      <x:c r="B583" s="40"/>
      <x:c r="M583" s="42"/>
      <x:c r="N583" s="42" t="str">
        <x:f>IF(OR(L583="",M583=""),"",L583*M583)</x:f>
      </x:c>
      <x:c r="O583" s="40"/>
      <x:c r="P583" s="40"/>
      <x:c r="Q583" s="40"/>
      <x:c r="U583" s="42"/>
    </x:row>
    <x:row r="584">
      <x:c r="B584" s="40"/>
      <x:c r="M584" s="42"/>
      <x:c r="N584" s="42" t="str">
        <x:f>IF(OR(L584="",M584=""),"",L584*M584)</x:f>
      </x:c>
      <x:c r="O584" s="40"/>
      <x:c r="P584" s="40"/>
      <x:c r="Q584" s="40"/>
      <x:c r="U584" s="42"/>
    </x:row>
    <x:row r="585">
      <x:c r="B585" s="40"/>
      <x:c r="M585" s="42"/>
      <x:c r="N585" s="42" t="str">
        <x:f>IF(OR(L585="",M585=""),"",L585*M585)</x:f>
      </x:c>
      <x:c r="O585" s="40"/>
      <x:c r="P585" s="40"/>
      <x:c r="Q585" s="40"/>
      <x:c r="U585" s="42"/>
    </x:row>
    <x:row r="586">
      <x:c r="B586" s="40"/>
      <x:c r="M586" s="42"/>
      <x:c r="N586" s="42" t="str">
        <x:f>IF(OR(L586="",M586=""),"",L586*M586)</x:f>
      </x:c>
      <x:c r="O586" s="40"/>
      <x:c r="P586" s="40"/>
      <x:c r="Q586" s="40"/>
      <x:c r="U586" s="42"/>
    </x:row>
    <x:row r="587">
      <x:c r="B587" s="40"/>
      <x:c r="M587" s="42"/>
      <x:c r="N587" s="42" t="str">
        <x:f>IF(OR(L587="",M587=""),"",L587*M587)</x:f>
      </x:c>
      <x:c r="O587" s="40"/>
      <x:c r="P587" s="40"/>
      <x:c r="Q587" s="40"/>
      <x:c r="U587" s="42"/>
    </x:row>
    <x:row r="588">
      <x:c r="B588" s="40"/>
      <x:c r="M588" s="42"/>
      <x:c r="N588" s="42" t="str">
        <x:f>IF(OR(L588="",M588=""),"",L588*M588)</x:f>
      </x:c>
      <x:c r="O588" s="40"/>
      <x:c r="P588" s="40"/>
      <x:c r="Q588" s="40"/>
      <x:c r="U588" s="42"/>
    </x:row>
    <x:row r="589">
      <x:c r="B589" s="40"/>
      <x:c r="M589" s="42"/>
      <x:c r="N589" s="42" t="str">
        <x:f>IF(OR(L589="",M589=""),"",L589*M589)</x:f>
      </x:c>
      <x:c r="O589" s="40"/>
      <x:c r="P589" s="40"/>
      <x:c r="Q589" s="40"/>
      <x:c r="U589" s="42"/>
    </x:row>
    <x:row r="590">
      <x:c r="B590" s="40"/>
      <x:c r="M590" s="42"/>
      <x:c r="N590" s="42" t="str">
        <x:f>IF(OR(L590="",M590=""),"",L590*M590)</x:f>
      </x:c>
      <x:c r="O590" s="40"/>
      <x:c r="P590" s="40"/>
      <x:c r="Q590" s="40"/>
      <x:c r="U590" s="42"/>
    </x:row>
    <x:row r="591">
      <x:c r="B591" s="40"/>
      <x:c r="M591" s="42"/>
      <x:c r="N591" s="42" t="str">
        <x:f>IF(OR(L591="",M591=""),"",L591*M591)</x:f>
      </x:c>
      <x:c r="O591" s="40"/>
      <x:c r="P591" s="40"/>
      <x:c r="Q591" s="40"/>
      <x:c r="U591" s="42"/>
    </x:row>
    <x:row r="592">
      <x:c r="B592" s="40"/>
      <x:c r="M592" s="42"/>
      <x:c r="N592" s="42" t="str">
        <x:f>IF(OR(L592="",M592=""),"",L592*M592)</x:f>
      </x:c>
      <x:c r="O592" s="40"/>
      <x:c r="P592" s="40"/>
      <x:c r="Q592" s="40"/>
      <x:c r="U592" s="42"/>
    </x:row>
    <x:row r="593">
      <x:c r="B593" s="40"/>
      <x:c r="M593" s="42"/>
      <x:c r="N593" s="42" t="str">
        <x:f>IF(OR(L593="",M593=""),"",L593*M593)</x:f>
      </x:c>
      <x:c r="O593" s="40"/>
      <x:c r="P593" s="40"/>
      <x:c r="Q593" s="40"/>
      <x:c r="U593" s="42"/>
    </x:row>
    <x:row r="594">
      <x:c r="B594" s="40"/>
      <x:c r="M594" s="42"/>
      <x:c r="N594" s="42" t="str">
        <x:f>IF(OR(L594="",M594=""),"",L594*M594)</x:f>
      </x:c>
      <x:c r="O594" s="40"/>
      <x:c r="P594" s="40"/>
      <x:c r="Q594" s="40"/>
      <x:c r="U594" s="42"/>
    </x:row>
    <x:row r="595">
      <x:c r="B595" s="40"/>
      <x:c r="M595" s="42"/>
      <x:c r="N595" s="42" t="str">
        <x:f>IF(OR(L595="",M595=""),"",L595*M595)</x:f>
      </x:c>
      <x:c r="O595" s="40"/>
      <x:c r="P595" s="40"/>
      <x:c r="Q595" s="40"/>
      <x:c r="U595" s="42"/>
    </x:row>
    <x:row r="596">
      <x:c r="B596" s="40"/>
      <x:c r="M596" s="42"/>
      <x:c r="N596" s="42" t="str">
        <x:f>IF(OR(L596="",M596=""),"",L596*M596)</x:f>
      </x:c>
      <x:c r="O596" s="40"/>
      <x:c r="P596" s="40"/>
      <x:c r="Q596" s="40"/>
      <x:c r="U596" s="42"/>
    </x:row>
    <x:row r="597">
      <x:c r="B597" s="40"/>
      <x:c r="M597" s="42"/>
      <x:c r="N597" s="42" t="str">
        <x:f>IF(OR(L597="",M597=""),"",L597*M597)</x:f>
      </x:c>
      <x:c r="O597" s="40"/>
      <x:c r="P597" s="40"/>
      <x:c r="Q597" s="40"/>
      <x:c r="U597" s="42"/>
    </x:row>
    <x:row r="598">
      <x:c r="B598" s="40"/>
      <x:c r="M598" s="42"/>
      <x:c r="N598" s="42" t="str">
        <x:f>IF(OR(L598="",M598=""),"",L598*M598)</x:f>
      </x:c>
      <x:c r="O598" s="40"/>
      <x:c r="P598" s="40"/>
      <x:c r="Q598" s="40"/>
      <x:c r="U598" s="42"/>
    </x:row>
    <x:row r="599">
      <x:c r="B599" s="40"/>
      <x:c r="M599" s="42"/>
      <x:c r="N599" s="42" t="str">
        <x:f>IF(OR(L599="",M599=""),"",L599*M599)</x:f>
      </x:c>
      <x:c r="O599" s="40"/>
      <x:c r="P599" s="40"/>
      <x:c r="Q599" s="40"/>
      <x:c r="U599" s="42"/>
    </x:row>
    <x:row r="600">
      <x:c r="B600" s="40"/>
      <x:c r="M600" s="42"/>
      <x:c r="N600" s="42" t="str">
        <x:f>IF(OR(L600="",M600=""),"",L600*M600)</x:f>
      </x:c>
      <x:c r="O600" s="40"/>
      <x:c r="P600" s="40"/>
      <x:c r="Q600" s="40"/>
      <x:c r="U600" s="42"/>
    </x:row>
    <x:row r="601">
      <x:c r="B601" s="40"/>
      <x:c r="M601" s="42"/>
      <x:c r="N601" s="42" t="str">
        <x:f>IF(OR(L601="",M601=""),"",L601*M601)</x:f>
      </x:c>
      <x:c r="O601" s="40"/>
      <x:c r="P601" s="40"/>
      <x:c r="Q601" s="40"/>
      <x:c r="U601" s="42"/>
    </x:row>
    <x:row r="602">
      <x:c r="B602" s="40"/>
      <x:c r="M602" s="42"/>
      <x:c r="N602" s="42" t="str">
        <x:f>IF(OR(L602="",M602=""),"",L602*M602)</x:f>
      </x:c>
      <x:c r="O602" s="40"/>
      <x:c r="P602" s="40"/>
      <x:c r="Q602" s="40"/>
      <x:c r="U602" s="42"/>
    </x:row>
    <x:row r="603">
      <x:c r="B603" s="40"/>
      <x:c r="M603" s="42"/>
      <x:c r="N603" s="42" t="str">
        <x:f>IF(OR(L603="",M603=""),"",L603*M603)</x:f>
      </x:c>
      <x:c r="O603" s="40"/>
      <x:c r="P603" s="40"/>
      <x:c r="Q603" s="40"/>
      <x:c r="U603" s="42"/>
    </x:row>
    <x:row r="604">
      <x:c r="B604" s="40"/>
      <x:c r="M604" s="42"/>
      <x:c r="N604" s="42" t="str">
        <x:f>IF(OR(L604="",M604=""),"",L604*M604)</x:f>
      </x:c>
      <x:c r="O604" s="40"/>
      <x:c r="P604" s="40"/>
      <x:c r="Q604" s="40"/>
      <x:c r="U604" s="42"/>
    </x:row>
    <x:row r="605">
      <x:c r="B605" s="40"/>
      <x:c r="M605" s="42"/>
      <x:c r="N605" s="42" t="str">
        <x:f>IF(OR(L605="",M605=""),"",L605*M605)</x:f>
      </x:c>
      <x:c r="O605" s="40"/>
      <x:c r="P605" s="40"/>
      <x:c r="Q605" s="40"/>
      <x:c r="U605" s="42"/>
    </x:row>
    <x:row r="606">
      <x:c r="B606" s="40"/>
      <x:c r="M606" s="42"/>
      <x:c r="N606" s="42" t="str">
        <x:f>IF(OR(L606="",M606=""),"",L606*M606)</x:f>
      </x:c>
      <x:c r="O606" s="40"/>
      <x:c r="P606" s="40"/>
      <x:c r="Q606" s="40"/>
      <x:c r="U606" s="42"/>
    </x:row>
    <x:row r="607">
      <x:c r="B607" s="40"/>
      <x:c r="M607" s="42"/>
      <x:c r="N607" s="42" t="str">
        <x:f>IF(OR(L607="",M607=""),"",L607*M607)</x:f>
      </x:c>
      <x:c r="O607" s="40"/>
      <x:c r="P607" s="40"/>
      <x:c r="Q607" s="40"/>
      <x:c r="U607" s="42"/>
    </x:row>
    <x:row r="608">
      <x:c r="B608" s="40"/>
      <x:c r="M608" s="42"/>
      <x:c r="N608" s="42" t="str">
        <x:f>IF(OR(L608="",M608=""),"",L608*M608)</x:f>
      </x:c>
      <x:c r="O608" s="40"/>
      <x:c r="P608" s="40"/>
      <x:c r="Q608" s="40"/>
      <x:c r="U608" s="42"/>
    </x:row>
    <x:row r="609">
      <x:c r="B609" s="40"/>
      <x:c r="M609" s="42"/>
      <x:c r="N609" s="42" t="str">
        <x:f>IF(OR(L609="",M609=""),"",L609*M609)</x:f>
      </x:c>
      <x:c r="O609" s="40"/>
      <x:c r="P609" s="40"/>
      <x:c r="Q609" s="40"/>
      <x:c r="U609" s="42"/>
    </x:row>
    <x:row r="610">
      <x:c r="B610" s="40"/>
      <x:c r="M610" s="42"/>
      <x:c r="N610" s="42" t="str">
        <x:f>IF(OR(L610="",M610=""),"",L610*M610)</x:f>
      </x:c>
      <x:c r="O610" s="40"/>
      <x:c r="P610" s="40"/>
      <x:c r="Q610" s="40"/>
      <x:c r="U610" s="42"/>
    </x:row>
    <x:row r="611">
      <x:c r="B611" s="40"/>
      <x:c r="M611" s="42"/>
      <x:c r="N611" s="42" t="str">
        <x:f>IF(OR(L611="",M611=""),"",L611*M611)</x:f>
      </x:c>
      <x:c r="O611" s="40"/>
      <x:c r="P611" s="40"/>
      <x:c r="Q611" s="40"/>
      <x:c r="U611" s="42"/>
    </x:row>
    <x:row r="612">
      <x:c r="B612" s="40"/>
      <x:c r="M612" s="42"/>
      <x:c r="N612" s="42" t="str">
        <x:f>IF(OR(L612="",M612=""),"",L612*M612)</x:f>
      </x:c>
      <x:c r="O612" s="40"/>
      <x:c r="P612" s="40"/>
      <x:c r="Q612" s="40"/>
      <x:c r="U612" s="42"/>
    </x:row>
    <x:row r="613">
      <x:c r="B613" s="40"/>
      <x:c r="M613" s="42"/>
      <x:c r="N613" s="42" t="str">
        <x:f>IF(OR(L613="",M613=""),"",L613*M613)</x:f>
      </x:c>
      <x:c r="O613" s="40"/>
      <x:c r="P613" s="40"/>
      <x:c r="Q613" s="40"/>
      <x:c r="U613" s="42"/>
    </x:row>
    <x:row r="614">
      <x:c r="B614" s="40"/>
      <x:c r="M614" s="42"/>
      <x:c r="N614" s="42" t="str">
        <x:f>IF(OR(L614="",M614=""),"",L614*M614)</x:f>
      </x:c>
      <x:c r="O614" s="40"/>
      <x:c r="P614" s="40"/>
      <x:c r="Q614" s="40"/>
      <x:c r="U614" s="42"/>
    </x:row>
    <x:row r="615">
      <x:c r="B615" s="40"/>
      <x:c r="M615" s="42"/>
      <x:c r="N615" s="42" t="str">
        <x:f>IF(OR(L615="",M615=""),"",L615*M615)</x:f>
      </x:c>
      <x:c r="O615" s="40"/>
      <x:c r="P615" s="40"/>
      <x:c r="Q615" s="40"/>
      <x:c r="U615" s="42"/>
    </x:row>
    <x:row r="616">
      <x:c r="B616" s="40"/>
      <x:c r="M616" s="42"/>
      <x:c r="N616" s="42" t="str">
        <x:f>IF(OR(L616="",M616=""),"",L616*M616)</x:f>
      </x:c>
      <x:c r="O616" s="40"/>
      <x:c r="P616" s="40"/>
      <x:c r="Q616" s="40"/>
      <x:c r="U616" s="42"/>
    </x:row>
    <x:row r="617">
      <x:c r="B617" s="40"/>
      <x:c r="M617" s="42"/>
      <x:c r="N617" s="42" t="str">
        <x:f>IF(OR(L617="",M617=""),"",L617*M617)</x:f>
      </x:c>
      <x:c r="O617" s="40"/>
      <x:c r="P617" s="40"/>
      <x:c r="Q617" s="40"/>
      <x:c r="U617" s="42"/>
    </x:row>
    <x:row r="618">
      <x:c r="B618" s="40"/>
      <x:c r="M618" s="42"/>
      <x:c r="N618" s="42" t="str">
        <x:f>IF(OR(L618="",M618=""),"",L618*M618)</x:f>
      </x:c>
      <x:c r="O618" s="40"/>
      <x:c r="P618" s="40"/>
      <x:c r="Q618" s="40"/>
      <x:c r="U618" s="42"/>
    </x:row>
    <x:row r="619">
      <x:c r="B619" s="40"/>
      <x:c r="M619" s="42"/>
      <x:c r="N619" s="42" t="str">
        <x:f>IF(OR(L619="",M619=""),"",L619*M619)</x:f>
      </x:c>
      <x:c r="O619" s="40"/>
      <x:c r="P619" s="40"/>
      <x:c r="Q619" s="40"/>
      <x:c r="U619" s="42"/>
    </x:row>
    <x:row r="620">
      <x:c r="B620" s="40"/>
      <x:c r="M620" s="42"/>
      <x:c r="N620" s="42" t="str">
        <x:f>IF(OR(L620="",M620=""),"",L620*M620)</x:f>
      </x:c>
      <x:c r="O620" s="40"/>
      <x:c r="P620" s="40"/>
      <x:c r="Q620" s="40"/>
      <x:c r="U620" s="42"/>
    </x:row>
    <x:row r="621">
      <x:c r="B621" s="40"/>
      <x:c r="M621" s="42"/>
      <x:c r="N621" s="42" t="str">
        <x:f>IF(OR(L621="",M621=""),"",L621*M621)</x:f>
      </x:c>
      <x:c r="O621" s="40"/>
      <x:c r="P621" s="40"/>
      <x:c r="Q621" s="40"/>
      <x:c r="U621" s="42"/>
    </x:row>
    <x:row r="622">
      <x:c r="B622" s="40"/>
      <x:c r="M622" s="42"/>
      <x:c r="N622" s="42" t="str">
        <x:f>IF(OR(L622="",M622=""),"",L622*M622)</x:f>
      </x:c>
      <x:c r="O622" s="40"/>
      <x:c r="P622" s="40"/>
      <x:c r="Q622" s="40"/>
      <x:c r="U622" s="42"/>
    </x:row>
    <x:row r="623">
      <x:c r="B623" s="40"/>
      <x:c r="M623" s="42"/>
      <x:c r="N623" s="42" t="str">
        <x:f>IF(OR(L623="",M623=""),"",L623*M623)</x:f>
      </x:c>
      <x:c r="O623" s="40"/>
      <x:c r="P623" s="40"/>
      <x:c r="Q623" s="40"/>
      <x:c r="U623" s="42"/>
    </x:row>
    <x:row r="624">
      <x:c r="B624" s="40"/>
      <x:c r="M624" s="42"/>
      <x:c r="N624" s="42" t="str">
        <x:f>IF(OR(L624="",M624=""),"",L624*M624)</x:f>
      </x:c>
      <x:c r="O624" s="40"/>
      <x:c r="P624" s="40"/>
      <x:c r="Q624" s="40"/>
      <x:c r="U624" s="42"/>
    </x:row>
    <x:row r="625">
      <x:c r="B625" s="40"/>
      <x:c r="M625" s="42"/>
      <x:c r="N625" s="42" t="str">
        <x:f>IF(OR(L625="",M625=""),"",L625*M625)</x:f>
      </x:c>
      <x:c r="O625" s="40"/>
      <x:c r="P625" s="40"/>
      <x:c r="Q625" s="40"/>
      <x:c r="U625" s="42"/>
    </x:row>
    <x:row r="626">
      <x:c r="B626" s="40"/>
      <x:c r="M626" s="42"/>
      <x:c r="N626" s="42" t="str">
        <x:f>IF(OR(L626="",M626=""),"",L626*M626)</x:f>
      </x:c>
      <x:c r="O626" s="40"/>
      <x:c r="P626" s="40"/>
      <x:c r="Q626" s="40"/>
      <x:c r="U626" s="42"/>
    </x:row>
    <x:row r="627">
      <x:c r="B627" s="40"/>
      <x:c r="M627" s="42"/>
      <x:c r="N627" s="42" t="str">
        <x:f>IF(OR(L627="",M627=""),"",L627*M627)</x:f>
      </x:c>
      <x:c r="O627" s="40"/>
      <x:c r="P627" s="40"/>
      <x:c r="Q627" s="40"/>
      <x:c r="U627" s="42"/>
    </x:row>
    <x:row r="628">
      <x:c r="B628" s="40"/>
      <x:c r="M628" s="42"/>
      <x:c r="N628" s="42" t="str">
        <x:f>IF(OR(L628="",M628=""),"",L628*M628)</x:f>
      </x:c>
      <x:c r="O628" s="40"/>
      <x:c r="P628" s="40"/>
      <x:c r="Q628" s="40"/>
      <x:c r="U628" s="42"/>
    </x:row>
    <x:row r="629">
      <x:c r="B629" s="40"/>
      <x:c r="M629" s="42"/>
      <x:c r="N629" s="42" t="str">
        <x:f>IF(OR(L629="",M629=""),"",L629*M629)</x:f>
      </x:c>
      <x:c r="O629" s="40"/>
      <x:c r="P629" s="40"/>
      <x:c r="Q629" s="40"/>
      <x:c r="U629" s="42"/>
    </x:row>
    <x:row r="630">
      <x:c r="B630" s="40"/>
      <x:c r="M630" s="42"/>
      <x:c r="N630" s="42" t="str">
        <x:f>IF(OR(L630="",M630=""),"",L630*M630)</x:f>
      </x:c>
      <x:c r="O630" s="40"/>
      <x:c r="P630" s="40"/>
      <x:c r="Q630" s="40"/>
      <x:c r="U630" s="42"/>
    </x:row>
    <x:row r="631">
      <x:c r="B631" s="40"/>
      <x:c r="M631" s="42"/>
      <x:c r="N631" s="42" t="str">
        <x:f>IF(OR(L631="",M631=""),"",L631*M631)</x:f>
      </x:c>
      <x:c r="O631" s="40"/>
      <x:c r="P631" s="40"/>
      <x:c r="Q631" s="40"/>
      <x:c r="U631" s="42"/>
    </x:row>
    <x:row r="632">
      <x:c r="B632" s="40"/>
      <x:c r="M632" s="42"/>
      <x:c r="N632" s="42" t="str">
        <x:f>IF(OR(L632="",M632=""),"",L632*M632)</x:f>
      </x:c>
      <x:c r="O632" s="40"/>
      <x:c r="P632" s="40"/>
      <x:c r="Q632" s="40"/>
      <x:c r="U632" s="42"/>
    </x:row>
    <x:row r="633">
      <x:c r="B633" s="40"/>
      <x:c r="M633" s="42"/>
      <x:c r="N633" s="42" t="str">
        <x:f>IF(OR(L633="",M633=""),"",L633*M633)</x:f>
      </x:c>
      <x:c r="O633" s="40"/>
      <x:c r="P633" s="40"/>
      <x:c r="Q633" s="40"/>
      <x:c r="U633" s="42"/>
    </x:row>
    <x:row r="634">
      <x:c r="B634" s="40"/>
      <x:c r="M634" s="42"/>
      <x:c r="N634" s="42" t="str">
        <x:f>IF(OR(L634="",M634=""),"",L634*M634)</x:f>
      </x:c>
      <x:c r="O634" s="40"/>
      <x:c r="P634" s="40"/>
      <x:c r="Q634" s="40"/>
      <x:c r="U634" s="42"/>
    </x:row>
    <x:row r="635">
      <x:c r="B635" s="40"/>
      <x:c r="M635" s="42"/>
      <x:c r="N635" s="42" t="str">
        <x:f>IF(OR(L635="",M635=""),"",L635*M635)</x:f>
      </x:c>
      <x:c r="O635" s="40"/>
      <x:c r="P635" s="40"/>
      <x:c r="Q635" s="40"/>
      <x:c r="U635" s="42"/>
    </x:row>
    <x:row r="636">
      <x:c r="B636" s="40"/>
      <x:c r="M636" s="42"/>
      <x:c r="N636" s="42" t="str">
        <x:f>IF(OR(L636="",M636=""),"",L636*M636)</x:f>
      </x:c>
      <x:c r="O636" s="40"/>
      <x:c r="P636" s="40"/>
      <x:c r="Q636" s="40"/>
      <x:c r="U636" s="42"/>
    </x:row>
    <x:row r="637">
      <x:c r="B637" s="40"/>
      <x:c r="M637" s="42"/>
      <x:c r="N637" s="42" t="str">
        <x:f>IF(OR(L637="",M637=""),"",L637*M637)</x:f>
      </x:c>
      <x:c r="O637" s="40"/>
      <x:c r="P637" s="40"/>
      <x:c r="Q637" s="40"/>
      <x:c r="U637" s="42"/>
    </x:row>
    <x:row r="638">
      <x:c r="B638" s="40"/>
      <x:c r="M638" s="42"/>
      <x:c r="N638" s="42" t="str">
        <x:f>IF(OR(L638="",M638=""),"",L638*M638)</x:f>
      </x:c>
      <x:c r="O638" s="40"/>
      <x:c r="P638" s="40"/>
      <x:c r="Q638" s="40"/>
      <x:c r="U638" s="42"/>
    </x:row>
    <x:row r="639">
      <x:c r="B639" s="40"/>
      <x:c r="M639" s="42"/>
      <x:c r="N639" s="42" t="str">
        <x:f>IF(OR(L639="",M639=""),"",L639*M639)</x:f>
      </x:c>
      <x:c r="O639" s="40"/>
      <x:c r="P639" s="40"/>
      <x:c r="Q639" s="40"/>
      <x:c r="U639" s="42"/>
    </x:row>
    <x:row r="640">
      <x:c r="B640" s="40"/>
      <x:c r="M640" s="42"/>
      <x:c r="N640" s="42" t="str">
        <x:f>IF(OR(L640="",M640=""),"",L640*M640)</x:f>
      </x:c>
      <x:c r="O640" s="40"/>
      <x:c r="P640" s="40"/>
      <x:c r="Q640" s="40"/>
      <x:c r="U640" s="42"/>
    </x:row>
    <x:row r="641">
      <x:c r="B641" s="40"/>
      <x:c r="M641" s="42"/>
      <x:c r="N641" s="42" t="str">
        <x:f>IF(OR(L641="",M641=""),"",L641*M641)</x:f>
      </x:c>
      <x:c r="O641" s="40"/>
      <x:c r="P641" s="40"/>
      <x:c r="Q641" s="40"/>
      <x:c r="U641" s="42"/>
    </x:row>
    <x:row r="642">
      <x:c r="B642" s="40"/>
      <x:c r="M642" s="42"/>
      <x:c r="N642" s="42" t="str">
        <x:f>IF(OR(L642="",M642=""),"",L642*M642)</x:f>
      </x:c>
      <x:c r="O642" s="40"/>
      <x:c r="P642" s="40"/>
      <x:c r="Q642" s="40"/>
      <x:c r="U642" s="42"/>
    </x:row>
    <x:row r="643">
      <x:c r="B643" s="40"/>
      <x:c r="M643" s="42"/>
      <x:c r="N643" s="42" t="str">
        <x:f>IF(OR(L643="",M643=""),"",L643*M643)</x:f>
      </x:c>
      <x:c r="O643" s="40"/>
      <x:c r="P643" s="40"/>
      <x:c r="Q643" s="40"/>
      <x:c r="U643" s="42"/>
    </x:row>
    <x:row r="644">
      <x:c r="B644" s="40"/>
      <x:c r="M644" s="42"/>
      <x:c r="N644" s="42" t="str">
        <x:f>IF(OR(L644="",M644=""),"",L644*M644)</x:f>
      </x:c>
      <x:c r="O644" s="40"/>
      <x:c r="P644" s="40"/>
      <x:c r="Q644" s="40"/>
      <x:c r="U644" s="42"/>
    </x:row>
    <x:row r="645">
      <x:c r="B645" s="40"/>
      <x:c r="M645" s="42"/>
      <x:c r="N645" s="42" t="str">
        <x:f>IF(OR(L645="",M645=""),"",L645*M645)</x:f>
      </x:c>
      <x:c r="O645" s="40"/>
      <x:c r="P645" s="40"/>
      <x:c r="Q645" s="40"/>
      <x:c r="U645" s="42"/>
    </x:row>
    <x:row r="646">
      <x:c r="B646" s="40"/>
      <x:c r="M646" s="42"/>
      <x:c r="N646" s="42" t="str">
        <x:f>IF(OR(L646="",M646=""),"",L646*M646)</x:f>
      </x:c>
      <x:c r="O646" s="40"/>
      <x:c r="P646" s="40"/>
      <x:c r="Q646" s="40"/>
      <x:c r="U646" s="42"/>
    </x:row>
    <x:row r="647">
      <x:c r="B647" s="40"/>
      <x:c r="M647" s="42"/>
      <x:c r="N647" s="42" t="str">
        <x:f>IF(OR(L647="",M647=""),"",L647*M647)</x:f>
      </x:c>
      <x:c r="O647" s="40"/>
      <x:c r="P647" s="40"/>
      <x:c r="Q647" s="40"/>
      <x:c r="U647" s="42"/>
    </x:row>
    <x:row r="648">
      <x:c r="B648" s="40"/>
      <x:c r="M648" s="42"/>
      <x:c r="N648" s="42" t="str">
        <x:f>IF(OR(L648="",M648=""),"",L648*M648)</x:f>
      </x:c>
      <x:c r="O648" s="40"/>
      <x:c r="P648" s="40"/>
      <x:c r="Q648" s="40"/>
      <x:c r="U648" s="42"/>
    </x:row>
    <x:row r="649">
      <x:c r="B649" s="40"/>
      <x:c r="M649" s="42"/>
      <x:c r="N649" s="42" t="str">
        <x:f>IF(OR(L649="",M649=""),"",L649*M649)</x:f>
      </x:c>
      <x:c r="O649" s="40"/>
      <x:c r="P649" s="40"/>
      <x:c r="Q649" s="40"/>
      <x:c r="U649" s="42"/>
    </x:row>
    <x:row r="650">
      <x:c r="B650" s="40"/>
      <x:c r="M650" s="42"/>
      <x:c r="N650" s="42" t="str">
        <x:f>IF(OR(L650="",M650=""),"",L650*M650)</x:f>
      </x:c>
      <x:c r="O650" s="40"/>
      <x:c r="P650" s="40"/>
      <x:c r="Q650" s="40"/>
      <x:c r="U650" s="42"/>
    </x:row>
    <x:row r="651">
      <x:c r="B651" s="40"/>
      <x:c r="M651" s="42"/>
      <x:c r="N651" s="42" t="str">
        <x:f>IF(OR(L651="",M651=""),"",L651*M651)</x:f>
      </x:c>
      <x:c r="O651" s="40"/>
      <x:c r="P651" s="40"/>
      <x:c r="Q651" s="40"/>
      <x:c r="U651" s="42"/>
    </x:row>
    <x:row r="652">
      <x:c r="B652" s="40"/>
      <x:c r="M652" s="42"/>
      <x:c r="N652" s="42" t="str">
        <x:f>IF(OR(L652="",M652=""),"",L652*M652)</x:f>
      </x:c>
      <x:c r="O652" s="40"/>
      <x:c r="P652" s="40"/>
      <x:c r="Q652" s="40"/>
      <x:c r="U652" s="42"/>
    </x:row>
    <x:row r="653">
      <x:c r="B653" s="40"/>
      <x:c r="M653" s="42"/>
      <x:c r="N653" s="42" t="str">
        <x:f>IF(OR(L653="",M653=""),"",L653*M653)</x:f>
      </x:c>
      <x:c r="O653" s="40"/>
      <x:c r="P653" s="40"/>
      <x:c r="Q653" s="40"/>
      <x:c r="U653" s="42"/>
    </x:row>
    <x:row r="654">
      <x:c r="B654" s="40"/>
      <x:c r="M654" s="42"/>
      <x:c r="N654" s="42" t="str">
        <x:f>IF(OR(L654="",M654=""),"",L654*M654)</x:f>
      </x:c>
      <x:c r="O654" s="40"/>
      <x:c r="P654" s="40"/>
      <x:c r="Q654" s="40"/>
      <x:c r="U654" s="42"/>
    </x:row>
    <x:row r="655">
      <x:c r="B655" s="40"/>
      <x:c r="M655" s="42"/>
      <x:c r="N655" s="42" t="str">
        <x:f>IF(OR(L655="",M655=""),"",L655*M655)</x:f>
      </x:c>
      <x:c r="O655" s="40"/>
      <x:c r="P655" s="40"/>
      <x:c r="Q655" s="40"/>
      <x:c r="U655" s="42"/>
    </x:row>
    <x:row r="656">
      <x:c r="B656" s="40"/>
      <x:c r="M656" s="42"/>
      <x:c r="N656" s="42" t="str">
        <x:f>IF(OR(L656="",M656=""),"",L656*M656)</x:f>
      </x:c>
      <x:c r="O656" s="40"/>
      <x:c r="P656" s="40"/>
      <x:c r="Q656" s="40"/>
      <x:c r="U656" s="42"/>
    </x:row>
    <x:row r="657">
      <x:c r="B657" s="40"/>
      <x:c r="M657" s="42"/>
      <x:c r="N657" s="42" t="str">
        <x:f>IF(OR(L657="",M657=""),"",L657*M657)</x:f>
      </x:c>
      <x:c r="O657" s="40"/>
      <x:c r="P657" s="40"/>
      <x:c r="Q657" s="40"/>
      <x:c r="U657" s="42"/>
    </x:row>
    <x:row r="658">
      <x:c r="B658" s="40"/>
      <x:c r="M658" s="42"/>
      <x:c r="N658" s="42" t="str">
        <x:f>IF(OR(L658="",M658=""),"",L658*M658)</x:f>
      </x:c>
      <x:c r="O658" s="40"/>
      <x:c r="P658" s="40"/>
      <x:c r="Q658" s="40"/>
      <x:c r="U658" s="42"/>
    </x:row>
    <x:row r="659">
      <x:c r="B659" s="40"/>
      <x:c r="M659" s="42"/>
      <x:c r="N659" s="42" t="str">
        <x:f>IF(OR(L659="",M659=""),"",L659*M659)</x:f>
      </x:c>
      <x:c r="O659" s="40"/>
      <x:c r="P659" s="40"/>
      <x:c r="Q659" s="40"/>
      <x:c r="U659" s="42"/>
    </x:row>
    <x:row r="660">
      <x:c r="B660" s="40"/>
      <x:c r="M660" s="42"/>
      <x:c r="N660" s="42" t="str">
        <x:f>IF(OR(L660="",M660=""),"",L660*M660)</x:f>
      </x:c>
      <x:c r="O660" s="40"/>
      <x:c r="P660" s="40"/>
      <x:c r="Q660" s="40"/>
      <x:c r="U660" s="42"/>
    </x:row>
    <x:row r="661">
      <x:c r="B661" s="40"/>
      <x:c r="M661" s="42"/>
      <x:c r="N661" s="42" t="str">
        <x:f>IF(OR(L661="",M661=""),"",L661*M661)</x:f>
      </x:c>
      <x:c r="O661" s="40"/>
      <x:c r="P661" s="40"/>
      <x:c r="Q661" s="40"/>
      <x:c r="U661" s="42"/>
    </x:row>
    <x:row r="662">
      <x:c r="B662" s="40"/>
      <x:c r="M662" s="42"/>
      <x:c r="N662" s="42" t="str">
        <x:f>IF(OR(L662="",M662=""),"",L662*M662)</x:f>
      </x:c>
      <x:c r="O662" s="40"/>
      <x:c r="P662" s="40"/>
      <x:c r="Q662" s="40"/>
      <x:c r="U662" s="42"/>
    </x:row>
    <x:row r="663">
      <x:c r="B663" s="40"/>
      <x:c r="M663" s="42"/>
      <x:c r="N663" s="42" t="str">
        <x:f>IF(OR(L663="",M663=""),"",L663*M663)</x:f>
      </x:c>
      <x:c r="O663" s="40"/>
      <x:c r="P663" s="40"/>
      <x:c r="Q663" s="40"/>
      <x:c r="U663" s="42"/>
    </x:row>
    <x:row r="664">
      <x:c r="B664" s="40"/>
      <x:c r="M664" s="42"/>
      <x:c r="N664" s="42" t="str">
        <x:f>IF(OR(L664="",M664=""),"",L664*M664)</x:f>
      </x:c>
      <x:c r="O664" s="40"/>
      <x:c r="P664" s="40"/>
      <x:c r="Q664" s="40"/>
      <x:c r="U664" s="42"/>
    </x:row>
    <x:row r="665">
      <x:c r="B665" s="40"/>
      <x:c r="M665" s="42"/>
      <x:c r="N665" s="42" t="str">
        <x:f>IF(OR(L665="",M665=""),"",L665*M665)</x:f>
      </x:c>
      <x:c r="O665" s="40"/>
      <x:c r="P665" s="40"/>
      <x:c r="Q665" s="40"/>
      <x:c r="U665" s="42"/>
    </x:row>
    <x:row r="666">
      <x:c r="B666" s="40"/>
      <x:c r="M666" s="42"/>
      <x:c r="N666" s="42" t="str">
        <x:f>IF(OR(L666="",M666=""),"",L666*M666)</x:f>
      </x:c>
      <x:c r="O666" s="40"/>
      <x:c r="P666" s="40"/>
      <x:c r="Q666" s="40"/>
      <x:c r="U666" s="42"/>
    </x:row>
    <x:row r="667">
      <x:c r="B667" s="40"/>
      <x:c r="M667" s="42"/>
      <x:c r="N667" s="42" t="str">
        <x:f>IF(OR(L667="",M667=""),"",L667*M667)</x:f>
      </x:c>
      <x:c r="O667" s="40"/>
      <x:c r="P667" s="40"/>
      <x:c r="Q667" s="40"/>
      <x:c r="U667" s="42"/>
    </x:row>
    <x:row r="668">
      <x:c r="B668" s="40"/>
      <x:c r="M668" s="42"/>
      <x:c r="N668" s="42" t="str">
        <x:f>IF(OR(L668="",M668=""),"",L668*M668)</x:f>
      </x:c>
      <x:c r="O668" s="40"/>
      <x:c r="P668" s="40"/>
      <x:c r="Q668" s="40"/>
      <x:c r="U668" s="42"/>
    </x:row>
    <x:row r="669">
      <x:c r="B669" s="40"/>
      <x:c r="M669" s="42"/>
      <x:c r="N669" s="42" t="str">
        <x:f>IF(OR(L669="",M669=""),"",L669*M669)</x:f>
      </x:c>
      <x:c r="O669" s="40"/>
      <x:c r="P669" s="40"/>
      <x:c r="Q669" s="40"/>
      <x:c r="U669" s="42"/>
    </x:row>
    <x:row r="670">
      <x:c r="B670" s="40"/>
      <x:c r="M670" s="42"/>
      <x:c r="N670" s="42" t="str">
        <x:f>IF(OR(L670="",M670=""),"",L670*M670)</x:f>
      </x:c>
      <x:c r="O670" s="40"/>
      <x:c r="P670" s="40"/>
      <x:c r="Q670" s="40"/>
      <x:c r="U670" s="42"/>
    </x:row>
    <x:row r="671">
      <x:c r="B671" s="40"/>
      <x:c r="M671" s="42"/>
      <x:c r="N671" s="42" t="str">
        <x:f>IF(OR(L671="",M671=""),"",L671*M671)</x:f>
      </x:c>
      <x:c r="O671" s="40"/>
      <x:c r="P671" s="40"/>
      <x:c r="Q671" s="40"/>
      <x:c r="U671" s="42"/>
    </x:row>
    <x:row r="672">
      <x:c r="B672" s="40"/>
      <x:c r="M672" s="42"/>
      <x:c r="N672" s="42" t="str">
        <x:f>IF(OR(L672="",M672=""),"",L672*M672)</x:f>
      </x:c>
      <x:c r="O672" s="40"/>
      <x:c r="P672" s="40"/>
      <x:c r="Q672" s="40"/>
      <x:c r="U672" s="42"/>
    </x:row>
    <x:row r="673">
      <x:c r="B673" s="40"/>
      <x:c r="M673" s="42"/>
      <x:c r="N673" s="42" t="str">
        <x:f>IF(OR(L673="",M673=""),"",L673*M673)</x:f>
      </x:c>
      <x:c r="O673" s="40"/>
      <x:c r="P673" s="40"/>
      <x:c r="Q673" s="40"/>
      <x:c r="U673" s="42"/>
    </x:row>
    <x:row r="674">
      <x:c r="B674" s="40"/>
      <x:c r="M674" s="42"/>
      <x:c r="N674" s="42" t="str">
        <x:f>IF(OR(L674="",M674=""),"",L674*M674)</x:f>
      </x:c>
      <x:c r="O674" s="40"/>
      <x:c r="P674" s="40"/>
      <x:c r="Q674" s="40"/>
      <x:c r="U674" s="42"/>
    </x:row>
    <x:row r="675">
      <x:c r="B675" s="40"/>
      <x:c r="M675" s="42"/>
      <x:c r="N675" s="42" t="str">
        <x:f>IF(OR(L675="",M675=""),"",L675*M675)</x:f>
      </x:c>
      <x:c r="O675" s="40"/>
      <x:c r="P675" s="40"/>
      <x:c r="Q675" s="40"/>
      <x:c r="U675" s="42"/>
    </x:row>
    <x:row r="676">
      <x:c r="B676" s="40"/>
      <x:c r="M676" s="42"/>
      <x:c r="N676" s="42" t="str">
        <x:f>IF(OR(L676="",M676=""),"",L676*M676)</x:f>
      </x:c>
      <x:c r="O676" s="40"/>
      <x:c r="P676" s="40"/>
      <x:c r="Q676" s="40"/>
      <x:c r="U676" s="42"/>
    </x:row>
    <x:row r="677">
      <x:c r="B677" s="40"/>
      <x:c r="M677" s="42"/>
      <x:c r="N677" s="42" t="str">
        <x:f>IF(OR(L677="",M677=""),"",L677*M677)</x:f>
      </x:c>
      <x:c r="O677" s="40"/>
      <x:c r="P677" s="40"/>
      <x:c r="Q677" s="40"/>
      <x:c r="U677" s="42"/>
    </x:row>
    <x:row r="678">
      <x:c r="B678" s="40"/>
      <x:c r="M678" s="42"/>
      <x:c r="N678" s="42" t="str">
        <x:f>IF(OR(L678="",M678=""),"",L678*M678)</x:f>
      </x:c>
      <x:c r="O678" s="40"/>
      <x:c r="P678" s="40"/>
      <x:c r="Q678" s="40"/>
      <x:c r="U678" s="42"/>
    </x:row>
    <x:row r="679">
      <x:c r="B679" s="40"/>
      <x:c r="M679" s="42"/>
      <x:c r="N679" s="42" t="str">
        <x:f>IF(OR(L679="",M679=""),"",L679*M679)</x:f>
      </x:c>
      <x:c r="O679" s="40"/>
      <x:c r="P679" s="40"/>
      <x:c r="Q679" s="40"/>
      <x:c r="U679" s="42"/>
    </x:row>
    <x:row r="680">
      <x:c r="B680" s="40"/>
      <x:c r="M680" s="42"/>
      <x:c r="N680" s="42" t="str">
        <x:f>IF(OR(L680="",M680=""),"",L680*M680)</x:f>
      </x:c>
      <x:c r="O680" s="40"/>
      <x:c r="P680" s="40"/>
      <x:c r="Q680" s="40"/>
      <x:c r="U680" s="42"/>
    </x:row>
    <x:row r="681">
      <x:c r="B681" s="40"/>
      <x:c r="M681" s="42"/>
      <x:c r="N681" s="42" t="str">
        <x:f>IF(OR(L681="",M681=""),"",L681*M681)</x:f>
      </x:c>
      <x:c r="O681" s="40"/>
      <x:c r="P681" s="40"/>
      <x:c r="Q681" s="40"/>
      <x:c r="U681" s="42"/>
    </x:row>
    <x:row r="682">
      <x:c r="B682" s="40"/>
      <x:c r="M682" s="42"/>
      <x:c r="N682" s="42" t="str">
        <x:f>IF(OR(L682="",M682=""),"",L682*M682)</x:f>
      </x:c>
      <x:c r="O682" s="40"/>
      <x:c r="P682" s="40"/>
      <x:c r="Q682" s="40"/>
      <x:c r="U682" s="42"/>
    </x:row>
    <x:row r="683">
      <x:c r="B683" s="40"/>
      <x:c r="M683" s="42"/>
      <x:c r="N683" s="42" t="str">
        <x:f>IF(OR(L683="",M683=""),"",L683*M683)</x:f>
      </x:c>
      <x:c r="O683" s="40"/>
      <x:c r="P683" s="40"/>
      <x:c r="Q683" s="40"/>
      <x:c r="U683" s="42"/>
    </x:row>
    <x:row r="684">
      <x:c r="B684" s="40"/>
      <x:c r="M684" s="42"/>
      <x:c r="N684" s="42" t="str">
        <x:f>IF(OR(L684="",M684=""),"",L684*M684)</x:f>
      </x:c>
      <x:c r="O684" s="40"/>
      <x:c r="P684" s="40"/>
      <x:c r="Q684" s="40"/>
      <x:c r="U684" s="42"/>
    </x:row>
    <x:row r="685">
      <x:c r="B685" s="40"/>
      <x:c r="M685" s="42"/>
      <x:c r="N685" s="42" t="str">
        <x:f>IF(OR(L685="",M685=""),"",L685*M685)</x:f>
      </x:c>
      <x:c r="O685" s="40"/>
      <x:c r="P685" s="40"/>
      <x:c r="Q685" s="40"/>
      <x:c r="U685" s="42"/>
    </x:row>
    <x:row r="686">
      <x:c r="B686" s="40"/>
      <x:c r="M686" s="42"/>
      <x:c r="N686" s="42" t="str">
        <x:f>IF(OR(L686="",M686=""),"",L686*M686)</x:f>
      </x:c>
      <x:c r="O686" s="40"/>
      <x:c r="P686" s="40"/>
      <x:c r="Q686" s="40"/>
      <x:c r="U686" s="42"/>
    </x:row>
    <x:row r="687">
      <x:c r="B687" s="40"/>
      <x:c r="M687" s="42"/>
      <x:c r="N687" s="42" t="str">
        <x:f>IF(OR(L687="",M687=""),"",L687*M687)</x:f>
      </x:c>
      <x:c r="O687" s="40"/>
      <x:c r="P687" s="40"/>
      <x:c r="Q687" s="40"/>
      <x:c r="U687" s="42"/>
    </x:row>
    <x:row r="688">
      <x:c r="B688" s="40"/>
      <x:c r="M688" s="42"/>
      <x:c r="N688" s="42" t="str">
        <x:f>IF(OR(L688="",M688=""),"",L688*M688)</x:f>
      </x:c>
      <x:c r="O688" s="40"/>
      <x:c r="P688" s="40"/>
      <x:c r="Q688" s="40"/>
      <x:c r="U688" s="42"/>
    </x:row>
    <x:row r="689">
      <x:c r="B689" s="40"/>
      <x:c r="M689" s="42"/>
      <x:c r="N689" s="42" t="str">
        <x:f>IF(OR(L689="",M689=""),"",L689*M689)</x:f>
      </x:c>
      <x:c r="O689" s="40"/>
      <x:c r="P689" s="40"/>
      <x:c r="Q689" s="40"/>
      <x:c r="U689" s="42"/>
    </x:row>
    <x:row r="690">
      <x:c r="B690" s="40"/>
      <x:c r="M690" s="42"/>
      <x:c r="N690" s="42" t="str">
        <x:f>IF(OR(L690="",M690=""),"",L690*M690)</x:f>
      </x:c>
      <x:c r="O690" s="40"/>
      <x:c r="P690" s="40"/>
      <x:c r="Q690" s="40"/>
      <x:c r="U690" s="42"/>
    </x:row>
    <x:row r="691">
      <x:c r="B691" s="40"/>
      <x:c r="M691" s="42"/>
      <x:c r="N691" s="42" t="str">
        <x:f>IF(OR(L691="",M691=""),"",L691*M691)</x:f>
      </x:c>
      <x:c r="O691" s="40"/>
      <x:c r="P691" s="40"/>
      <x:c r="Q691" s="40"/>
      <x:c r="U691" s="42"/>
    </x:row>
    <x:row r="692">
      <x:c r="B692" s="40"/>
      <x:c r="M692" s="42"/>
      <x:c r="N692" s="42" t="str">
        <x:f>IF(OR(L692="",M692=""),"",L692*M692)</x:f>
      </x:c>
      <x:c r="O692" s="40"/>
      <x:c r="P692" s="40"/>
      <x:c r="Q692" s="40"/>
      <x:c r="U692" s="42"/>
    </x:row>
    <x:row r="693">
      <x:c r="B693" s="40"/>
      <x:c r="M693" s="42"/>
      <x:c r="N693" s="42" t="str">
        <x:f>IF(OR(L693="",M693=""),"",L693*M693)</x:f>
      </x:c>
      <x:c r="O693" s="40"/>
      <x:c r="P693" s="40"/>
      <x:c r="Q693" s="40"/>
      <x:c r="U693" s="42"/>
    </x:row>
    <x:row r="694">
      <x:c r="B694" s="40"/>
      <x:c r="M694" s="42"/>
      <x:c r="N694" s="42" t="str">
        <x:f>IF(OR(L694="",M694=""),"",L694*M694)</x:f>
      </x:c>
      <x:c r="O694" s="40"/>
      <x:c r="P694" s="40"/>
      <x:c r="Q694" s="40"/>
      <x:c r="U694" s="42"/>
    </x:row>
    <x:row r="695">
      <x:c r="B695" s="40"/>
      <x:c r="M695" s="42"/>
      <x:c r="N695" s="42" t="str">
        <x:f>IF(OR(L695="",M695=""),"",L695*M695)</x:f>
      </x:c>
      <x:c r="O695" s="40"/>
      <x:c r="P695" s="40"/>
      <x:c r="Q695" s="40"/>
      <x:c r="U695" s="42"/>
    </x:row>
    <x:row r="696">
      <x:c r="B696" s="40"/>
      <x:c r="M696" s="42"/>
      <x:c r="N696" s="42" t="str">
        <x:f>IF(OR(L696="",M696=""),"",L696*M696)</x:f>
      </x:c>
      <x:c r="O696" s="40"/>
      <x:c r="P696" s="40"/>
      <x:c r="Q696" s="40"/>
      <x:c r="U696" s="42"/>
    </x:row>
    <x:row r="697">
      <x:c r="B697" s="40"/>
      <x:c r="M697" s="42"/>
      <x:c r="N697" s="42" t="str">
        <x:f>IF(OR(L697="",M697=""),"",L697*M697)</x:f>
      </x:c>
      <x:c r="O697" s="40"/>
      <x:c r="P697" s="40"/>
      <x:c r="Q697" s="40"/>
      <x:c r="U697" s="42"/>
    </x:row>
    <x:row r="698">
      <x:c r="B698" s="40"/>
      <x:c r="M698" s="42"/>
      <x:c r="N698" s="42" t="str">
        <x:f>IF(OR(L698="",M698=""),"",L698*M698)</x:f>
      </x:c>
      <x:c r="O698" s="40"/>
      <x:c r="P698" s="40"/>
      <x:c r="Q698" s="40"/>
      <x:c r="U698" s="42"/>
    </x:row>
    <x:row r="699">
      <x:c r="B699" s="40"/>
      <x:c r="M699" s="42"/>
      <x:c r="N699" s="42" t="str">
        <x:f>IF(OR(L699="",M699=""),"",L699*M699)</x:f>
      </x:c>
      <x:c r="O699" s="40"/>
      <x:c r="P699" s="40"/>
      <x:c r="Q699" s="40"/>
      <x:c r="U699" s="42"/>
    </x:row>
    <x:row r="700">
      <x:c r="B700" s="40"/>
      <x:c r="M700" s="42"/>
      <x:c r="N700" s="42" t="str">
        <x:f>IF(OR(L700="",M700=""),"",L700*M700)</x:f>
      </x:c>
      <x:c r="O700" s="40"/>
      <x:c r="P700" s="40"/>
      <x:c r="Q700" s="40"/>
      <x:c r="U700" s="42"/>
    </x:row>
    <x:row r="701">
      <x:c r="B701" s="40"/>
      <x:c r="M701" s="42"/>
      <x:c r="N701" s="42" t="str">
        <x:f>IF(OR(L701="",M701=""),"",L701*M701)</x:f>
      </x:c>
      <x:c r="O701" s="40"/>
      <x:c r="P701" s="40"/>
      <x:c r="Q701" s="40"/>
      <x:c r="U701" s="42"/>
    </x:row>
    <x:row r="702">
      <x:c r="B702" s="40"/>
      <x:c r="M702" s="42"/>
      <x:c r="N702" s="42" t="str">
        <x:f>IF(OR(L702="",M702=""),"",L702*M702)</x:f>
      </x:c>
      <x:c r="O702" s="40"/>
      <x:c r="P702" s="40"/>
      <x:c r="Q702" s="40"/>
      <x:c r="U702" s="42"/>
    </x:row>
    <x:row r="703">
      <x:c r="B703" s="40"/>
      <x:c r="M703" s="42"/>
      <x:c r="N703" s="42" t="str">
        <x:f>IF(OR(L703="",M703=""),"",L703*M703)</x:f>
      </x:c>
      <x:c r="O703" s="40"/>
      <x:c r="P703" s="40"/>
      <x:c r="Q703" s="40"/>
      <x:c r="U703" s="42"/>
    </x:row>
    <x:row r="704">
      <x:c r="B704" s="40"/>
      <x:c r="M704" s="42"/>
      <x:c r="N704" s="42" t="str">
        <x:f>IF(OR(L704="",M704=""),"",L704*M704)</x:f>
      </x:c>
      <x:c r="O704" s="40"/>
      <x:c r="P704" s="40"/>
      <x:c r="Q704" s="40"/>
      <x:c r="U704" s="42"/>
    </x:row>
    <x:row r="705">
      <x:c r="B705" s="40"/>
      <x:c r="M705" s="42"/>
      <x:c r="N705" s="42" t="str">
        <x:f>IF(OR(L705="",M705=""),"",L705*M705)</x:f>
      </x:c>
      <x:c r="O705" s="40"/>
      <x:c r="P705" s="40"/>
      <x:c r="Q705" s="40"/>
      <x:c r="U705" s="42"/>
    </x:row>
    <x:row r="706">
      <x:c r="B706" s="40"/>
      <x:c r="M706" s="42"/>
      <x:c r="N706" s="42" t="str">
        <x:f>IF(OR(L706="",M706=""),"",L706*M706)</x:f>
      </x:c>
      <x:c r="O706" s="40"/>
      <x:c r="P706" s="40"/>
      <x:c r="Q706" s="40"/>
      <x:c r="U706" s="42"/>
    </x:row>
    <x:row r="707">
      <x:c r="B707" s="40"/>
      <x:c r="M707" s="42"/>
      <x:c r="N707" s="42" t="str">
        <x:f>IF(OR(L707="",M707=""),"",L707*M707)</x:f>
      </x:c>
      <x:c r="O707" s="40"/>
      <x:c r="P707" s="40"/>
      <x:c r="Q707" s="40"/>
      <x:c r="U707" s="42"/>
    </x:row>
    <x:row r="708">
      <x:c r="B708" s="40"/>
      <x:c r="M708" s="42"/>
      <x:c r="N708" s="42" t="str">
        <x:f>IF(OR(L708="",M708=""),"",L708*M708)</x:f>
      </x:c>
      <x:c r="O708" s="40"/>
      <x:c r="P708" s="40"/>
      <x:c r="Q708" s="40"/>
      <x:c r="U708" s="42"/>
    </x:row>
    <x:row r="709">
      <x:c r="B709" s="40"/>
      <x:c r="M709" s="42"/>
      <x:c r="N709" s="42" t="str">
        <x:f>IF(OR(L709="",M709=""),"",L709*M709)</x:f>
      </x:c>
      <x:c r="O709" s="40"/>
      <x:c r="P709" s="40"/>
      <x:c r="Q709" s="40"/>
      <x:c r="U709" s="42"/>
    </x:row>
    <x:row r="710">
      <x:c r="B710" s="40"/>
      <x:c r="M710" s="42"/>
      <x:c r="N710" s="42" t="str">
        <x:f>IF(OR(L710="",M710=""),"",L710*M710)</x:f>
      </x:c>
      <x:c r="O710" s="40"/>
      <x:c r="P710" s="40"/>
      <x:c r="Q710" s="40"/>
      <x:c r="U710" s="42"/>
    </x:row>
    <x:row r="711">
      <x:c r="B711" s="40"/>
      <x:c r="M711" s="42"/>
      <x:c r="N711" s="42" t="str">
        <x:f>IF(OR(L711="",M711=""),"",L711*M711)</x:f>
      </x:c>
      <x:c r="O711" s="40"/>
      <x:c r="P711" s="40"/>
      <x:c r="Q711" s="40"/>
      <x:c r="U711" s="42"/>
    </x:row>
    <x:row r="712">
      <x:c r="B712" s="40"/>
      <x:c r="M712" s="42"/>
      <x:c r="N712" s="42" t="str">
        <x:f>IF(OR(L712="",M712=""),"",L712*M712)</x:f>
      </x:c>
      <x:c r="O712" s="40"/>
      <x:c r="P712" s="40"/>
      <x:c r="Q712" s="40"/>
      <x:c r="U712" s="42"/>
    </x:row>
    <x:row r="713">
      <x:c r="B713" s="40"/>
      <x:c r="M713" s="42"/>
      <x:c r="N713" s="42" t="str">
        <x:f>IF(OR(L713="",M713=""),"",L713*M713)</x:f>
      </x:c>
      <x:c r="O713" s="40"/>
      <x:c r="P713" s="40"/>
      <x:c r="Q713" s="40"/>
      <x:c r="U713" s="42"/>
    </x:row>
    <x:row r="714">
      <x:c r="B714" s="40"/>
      <x:c r="M714" s="42"/>
      <x:c r="N714" s="42" t="str">
        <x:f>IF(OR(L714="",M714=""),"",L714*M714)</x:f>
      </x:c>
      <x:c r="O714" s="40"/>
      <x:c r="P714" s="40"/>
      <x:c r="Q714" s="40"/>
      <x:c r="U714" s="42"/>
    </x:row>
    <x:row r="715">
      <x:c r="B715" s="40"/>
      <x:c r="M715" s="42"/>
      <x:c r="N715" s="42" t="str">
        <x:f>IF(OR(L715="",M715=""),"",L715*M715)</x:f>
      </x:c>
      <x:c r="O715" s="40"/>
      <x:c r="P715" s="40"/>
      <x:c r="Q715" s="40"/>
      <x:c r="U715" s="42"/>
    </x:row>
    <x:row r="716">
      <x:c r="B716" s="40"/>
      <x:c r="M716" s="42"/>
      <x:c r="N716" s="42" t="str">
        <x:f>IF(OR(L716="",M716=""),"",L716*M716)</x:f>
      </x:c>
      <x:c r="O716" s="40"/>
      <x:c r="P716" s="40"/>
      <x:c r="Q716" s="40"/>
      <x:c r="U716" s="42"/>
    </x:row>
    <x:row r="717">
      <x:c r="B717" s="40"/>
      <x:c r="M717" s="42"/>
      <x:c r="N717" s="42" t="str">
        <x:f>IF(OR(L717="",M717=""),"",L717*M717)</x:f>
      </x:c>
      <x:c r="O717" s="40"/>
      <x:c r="P717" s="40"/>
      <x:c r="Q717" s="40"/>
      <x:c r="U717" s="42"/>
    </x:row>
    <x:row r="718">
      <x:c r="B718" s="40"/>
      <x:c r="M718" s="42"/>
      <x:c r="N718" s="42" t="str">
        <x:f>IF(OR(L718="",M718=""),"",L718*M718)</x:f>
      </x:c>
      <x:c r="O718" s="40"/>
      <x:c r="P718" s="40"/>
      <x:c r="Q718" s="40"/>
      <x:c r="U718" s="42"/>
    </x:row>
    <x:row r="719">
      <x:c r="B719" s="40"/>
      <x:c r="M719" s="42"/>
      <x:c r="N719" s="42" t="str">
        <x:f>IF(OR(L719="",M719=""),"",L719*M719)</x:f>
      </x:c>
      <x:c r="O719" s="40"/>
      <x:c r="P719" s="40"/>
      <x:c r="Q719" s="40"/>
      <x:c r="U719" s="42"/>
    </x:row>
    <x:row r="720">
      <x:c r="B720" s="40"/>
      <x:c r="M720" s="42"/>
      <x:c r="N720" s="42" t="str">
        <x:f>IF(OR(L720="",M720=""),"",L720*M720)</x:f>
      </x:c>
      <x:c r="O720" s="40"/>
      <x:c r="P720" s="40"/>
      <x:c r="Q720" s="40"/>
      <x:c r="U720" s="42"/>
    </x:row>
    <x:row r="721">
      <x:c r="B721" s="40"/>
      <x:c r="M721" s="42"/>
      <x:c r="N721" s="42" t="str">
        <x:f>IF(OR(L721="",M721=""),"",L721*M721)</x:f>
      </x:c>
      <x:c r="O721" s="40"/>
      <x:c r="P721" s="40"/>
      <x:c r="Q721" s="40"/>
      <x:c r="U721" s="42"/>
    </x:row>
    <x:row r="722">
      <x:c r="B722" s="40"/>
      <x:c r="M722" s="42"/>
      <x:c r="N722" s="42" t="str">
        <x:f>IF(OR(L722="",M722=""),"",L722*M722)</x:f>
      </x:c>
      <x:c r="O722" s="40"/>
      <x:c r="P722" s="40"/>
      <x:c r="Q722" s="40"/>
      <x:c r="U722" s="42"/>
    </x:row>
    <x:row r="723">
      <x:c r="B723" s="40"/>
      <x:c r="M723" s="42"/>
      <x:c r="N723" s="42" t="str">
        <x:f>IF(OR(L723="",M723=""),"",L723*M723)</x:f>
      </x:c>
      <x:c r="O723" s="40"/>
      <x:c r="P723" s="40"/>
      <x:c r="Q723" s="40"/>
      <x:c r="U723" s="42"/>
    </x:row>
    <x:row r="724">
      <x:c r="B724" s="40"/>
      <x:c r="M724" s="42"/>
      <x:c r="N724" s="42" t="str">
        <x:f>IF(OR(L724="",M724=""),"",L724*M724)</x:f>
      </x:c>
      <x:c r="O724" s="40"/>
      <x:c r="P724" s="40"/>
      <x:c r="Q724" s="40"/>
      <x:c r="U724" s="42"/>
    </x:row>
    <x:row r="725">
      <x:c r="B725" s="40"/>
      <x:c r="M725" s="42"/>
      <x:c r="N725" s="42" t="str">
        <x:f>IF(OR(L725="",M725=""),"",L725*M725)</x:f>
      </x:c>
      <x:c r="O725" s="40"/>
      <x:c r="P725" s="40"/>
      <x:c r="Q725" s="40"/>
      <x:c r="U725" s="42"/>
    </x:row>
    <x:row r="726">
      <x:c r="B726" s="40"/>
      <x:c r="M726" s="42"/>
      <x:c r="N726" s="42" t="str">
        <x:f>IF(OR(L726="",M726=""),"",L726*M726)</x:f>
      </x:c>
      <x:c r="O726" s="40"/>
      <x:c r="P726" s="40"/>
      <x:c r="Q726" s="40"/>
      <x:c r="U726" s="42"/>
    </x:row>
    <x:row r="727">
      <x:c r="B727" s="40"/>
      <x:c r="M727" s="42"/>
      <x:c r="N727" s="42" t="str">
        <x:f>IF(OR(L727="",M727=""),"",L727*M727)</x:f>
      </x:c>
      <x:c r="O727" s="40"/>
      <x:c r="P727" s="40"/>
      <x:c r="Q727" s="40"/>
      <x:c r="U727" s="42"/>
    </x:row>
    <x:row r="728">
      <x:c r="B728" s="40"/>
      <x:c r="M728" s="42"/>
      <x:c r="N728" s="42" t="str">
        <x:f>IF(OR(L728="",M728=""),"",L728*M728)</x:f>
      </x:c>
      <x:c r="O728" s="40"/>
      <x:c r="P728" s="40"/>
      <x:c r="Q728" s="40"/>
      <x:c r="U728" s="42"/>
    </x:row>
    <x:row r="729">
      <x:c r="B729" s="40"/>
      <x:c r="M729" s="42"/>
      <x:c r="N729" s="42" t="str">
        <x:f>IF(OR(L729="",M729=""),"",L729*M729)</x:f>
      </x:c>
      <x:c r="O729" s="40"/>
      <x:c r="P729" s="40"/>
      <x:c r="Q729" s="40"/>
      <x:c r="U729" s="42"/>
    </x:row>
    <x:row r="730">
      <x:c r="B730" s="40"/>
      <x:c r="M730" s="42"/>
      <x:c r="N730" s="42" t="str">
        <x:f>IF(OR(L730="",M730=""),"",L730*M730)</x:f>
      </x:c>
      <x:c r="O730" s="40"/>
      <x:c r="P730" s="40"/>
      <x:c r="Q730" s="40"/>
      <x:c r="U730" s="42"/>
    </x:row>
    <x:row r="731">
      <x:c r="B731" s="40"/>
      <x:c r="M731" s="42"/>
      <x:c r="N731" s="42" t="str">
        <x:f>IF(OR(L731="",M731=""),"",L731*M731)</x:f>
      </x:c>
      <x:c r="O731" s="40"/>
      <x:c r="P731" s="40"/>
      <x:c r="Q731" s="40"/>
      <x:c r="U731" s="42"/>
    </x:row>
    <x:row r="732">
      <x:c r="B732" s="40"/>
      <x:c r="M732" s="42"/>
      <x:c r="N732" s="42" t="str">
        <x:f>IF(OR(L732="",M732=""),"",L732*M732)</x:f>
      </x:c>
      <x:c r="O732" s="40"/>
      <x:c r="P732" s="40"/>
      <x:c r="Q732" s="40"/>
      <x:c r="U732" s="42"/>
    </x:row>
    <x:row r="733">
      <x:c r="B733" s="40"/>
      <x:c r="M733" s="42"/>
      <x:c r="N733" s="42" t="str">
        <x:f>IF(OR(L733="",M733=""),"",L733*M733)</x:f>
      </x:c>
      <x:c r="O733" s="40"/>
      <x:c r="P733" s="40"/>
      <x:c r="Q733" s="40"/>
      <x:c r="U733" s="42"/>
    </x:row>
    <x:row r="734">
      <x:c r="B734" s="40"/>
      <x:c r="M734" s="42"/>
      <x:c r="N734" s="42" t="str">
        <x:f>IF(OR(L734="",M734=""),"",L734*M734)</x:f>
      </x:c>
      <x:c r="O734" s="40"/>
      <x:c r="P734" s="40"/>
      <x:c r="Q734" s="40"/>
      <x:c r="U734" s="42"/>
    </x:row>
    <x:row r="735">
      <x:c r="B735" s="40"/>
      <x:c r="M735" s="42"/>
      <x:c r="N735" s="42" t="str">
        <x:f>IF(OR(L735="",M735=""),"",L735*M735)</x:f>
      </x:c>
      <x:c r="O735" s="40"/>
      <x:c r="P735" s="40"/>
      <x:c r="Q735" s="40"/>
      <x:c r="U735" s="42"/>
    </x:row>
    <x:row r="736">
      <x:c r="B736" s="40"/>
      <x:c r="M736" s="42"/>
      <x:c r="N736" s="42" t="str">
        <x:f>IF(OR(L736="",M736=""),"",L736*M736)</x:f>
      </x:c>
      <x:c r="O736" s="40"/>
      <x:c r="P736" s="40"/>
      <x:c r="Q736" s="40"/>
      <x:c r="U736" s="42"/>
    </x:row>
    <x:row r="737">
      <x:c r="B737" s="40"/>
      <x:c r="M737" s="42"/>
      <x:c r="N737" s="42" t="str">
        <x:f>IF(OR(L737="",M737=""),"",L737*M737)</x:f>
      </x:c>
      <x:c r="O737" s="40"/>
      <x:c r="P737" s="40"/>
      <x:c r="Q737" s="40"/>
      <x:c r="U737" s="42"/>
    </x:row>
    <x:row r="738">
      <x:c r="B738" s="40"/>
      <x:c r="M738" s="42"/>
      <x:c r="N738" s="42" t="str">
        <x:f>IF(OR(L738="",M738=""),"",L738*M738)</x:f>
      </x:c>
      <x:c r="O738" s="40"/>
      <x:c r="P738" s="40"/>
      <x:c r="Q738" s="40"/>
      <x:c r="U738" s="42"/>
    </x:row>
    <x:row r="739">
      <x:c r="B739" s="40"/>
      <x:c r="M739" s="42"/>
      <x:c r="N739" s="42" t="str">
        <x:f>IF(OR(L739="",M739=""),"",L739*M739)</x:f>
      </x:c>
      <x:c r="O739" s="40"/>
      <x:c r="P739" s="40"/>
      <x:c r="Q739" s="40"/>
      <x:c r="U739" s="42"/>
    </x:row>
    <x:row r="740">
      <x:c r="B740" s="40"/>
      <x:c r="M740" s="42"/>
      <x:c r="N740" s="42" t="str">
        <x:f>IF(OR(L740="",M740=""),"",L740*M740)</x:f>
      </x:c>
      <x:c r="O740" s="40"/>
      <x:c r="P740" s="40"/>
      <x:c r="Q740" s="40"/>
      <x:c r="U740" s="42"/>
    </x:row>
    <x:row r="741">
      <x:c r="B741" s="40"/>
      <x:c r="M741" s="42"/>
      <x:c r="N741" s="42" t="str">
        <x:f>IF(OR(L741="",M741=""),"",L741*M741)</x:f>
      </x:c>
      <x:c r="O741" s="40"/>
      <x:c r="P741" s="40"/>
      <x:c r="Q741" s="40"/>
      <x:c r="U741" s="42"/>
    </x:row>
    <x:row r="742">
      <x:c r="B742" s="40"/>
      <x:c r="M742" s="42"/>
      <x:c r="N742" s="42" t="str">
        <x:f>IF(OR(L742="",M742=""),"",L742*M742)</x:f>
      </x:c>
      <x:c r="O742" s="40"/>
      <x:c r="P742" s="40"/>
      <x:c r="Q742" s="40"/>
      <x:c r="U742" s="42"/>
    </x:row>
    <x:row r="743">
      <x:c r="B743" s="40"/>
      <x:c r="M743" s="42"/>
      <x:c r="N743" s="42" t="str">
        <x:f>IF(OR(L743="",M743=""),"",L743*M743)</x:f>
      </x:c>
      <x:c r="O743" s="40"/>
      <x:c r="P743" s="40"/>
      <x:c r="Q743" s="40"/>
      <x:c r="U743" s="42"/>
    </x:row>
    <x:row r="744">
      <x:c r="B744" s="40"/>
      <x:c r="M744" s="42"/>
      <x:c r="N744" s="42" t="str">
        <x:f>IF(OR(L744="",M744=""),"",L744*M744)</x:f>
      </x:c>
      <x:c r="O744" s="40"/>
      <x:c r="P744" s="40"/>
      <x:c r="Q744" s="40"/>
      <x:c r="U744" s="42"/>
    </x:row>
    <x:row r="745">
      <x:c r="B745" s="40"/>
      <x:c r="M745" s="42"/>
      <x:c r="N745" s="42" t="str">
        <x:f>IF(OR(L745="",M745=""),"",L745*M745)</x:f>
      </x:c>
      <x:c r="O745" s="40"/>
      <x:c r="P745" s="40"/>
      <x:c r="Q745" s="40"/>
      <x:c r="U745" s="42"/>
    </x:row>
    <x:row r="746">
      <x:c r="B746" s="40"/>
      <x:c r="M746" s="42"/>
      <x:c r="N746" s="42" t="str">
        <x:f>IF(OR(L746="",M746=""),"",L746*M746)</x:f>
      </x:c>
      <x:c r="O746" s="40"/>
      <x:c r="P746" s="40"/>
      <x:c r="Q746" s="40"/>
      <x:c r="U746" s="42"/>
    </x:row>
    <x:row r="747">
      <x:c r="B747" s="40"/>
      <x:c r="M747" s="42"/>
      <x:c r="N747" s="42" t="str">
        <x:f>IF(OR(L747="",M747=""),"",L747*M747)</x:f>
      </x:c>
      <x:c r="O747" s="40"/>
      <x:c r="P747" s="40"/>
      <x:c r="Q747" s="40"/>
      <x:c r="U747" s="42"/>
    </x:row>
    <x:row r="748">
      <x:c r="B748" s="40"/>
      <x:c r="M748" s="42"/>
      <x:c r="N748" s="42" t="str">
        <x:f>IF(OR(L748="",M748=""),"",L748*M748)</x:f>
      </x:c>
      <x:c r="O748" s="40"/>
      <x:c r="P748" s="40"/>
      <x:c r="Q748" s="40"/>
      <x:c r="U748" s="42"/>
    </x:row>
    <x:row r="749">
      <x:c r="B749" s="40"/>
      <x:c r="M749" s="42"/>
      <x:c r="N749" s="42" t="str">
        <x:f>IF(OR(L749="",M749=""),"",L749*M749)</x:f>
      </x:c>
      <x:c r="O749" s="40"/>
      <x:c r="P749" s="40"/>
      <x:c r="Q749" s="40"/>
      <x:c r="U749" s="42"/>
    </x:row>
    <x:row r="750">
      <x:c r="B750" s="40"/>
      <x:c r="M750" s="42"/>
      <x:c r="N750" s="42" t="str">
        <x:f>IF(OR(L750="",M750=""),"",L750*M750)</x:f>
      </x:c>
      <x:c r="O750" s="40"/>
      <x:c r="P750" s="40"/>
      <x:c r="Q750" s="40"/>
      <x:c r="U750" s="42"/>
    </x:row>
    <x:row r="751">
      <x:c r="B751" s="40"/>
      <x:c r="M751" s="42"/>
      <x:c r="N751" s="42" t="str">
        <x:f>IF(OR(L751="",M751=""),"",L751*M751)</x:f>
      </x:c>
      <x:c r="O751" s="40"/>
      <x:c r="P751" s="40"/>
      <x:c r="Q751" s="40"/>
      <x:c r="U751" s="42"/>
    </x:row>
    <x:row r="752">
      <x:c r="B752" s="40"/>
      <x:c r="M752" s="42"/>
      <x:c r="N752" s="42" t="str">
        <x:f>IF(OR(L752="",M752=""),"",L752*M752)</x:f>
      </x:c>
      <x:c r="O752" s="40"/>
      <x:c r="P752" s="40"/>
      <x:c r="Q752" s="40"/>
      <x:c r="U752" s="42"/>
    </x:row>
    <x:row r="753">
      <x:c r="B753" s="40"/>
      <x:c r="M753" s="42"/>
      <x:c r="N753" s="42" t="str">
        <x:f>IF(OR(L753="",M753=""),"",L753*M753)</x:f>
      </x:c>
      <x:c r="O753" s="40"/>
      <x:c r="P753" s="40"/>
      <x:c r="Q753" s="40"/>
      <x:c r="U753" s="42"/>
    </x:row>
    <x:row r="754">
      <x:c r="B754" s="40"/>
      <x:c r="M754" s="42"/>
      <x:c r="N754" s="42" t="str">
        <x:f>IF(OR(L754="",M754=""),"",L754*M754)</x:f>
      </x:c>
      <x:c r="O754" s="40"/>
      <x:c r="P754" s="40"/>
      <x:c r="Q754" s="40"/>
      <x:c r="U754" s="42"/>
    </x:row>
    <x:row r="755">
      <x:c r="B755" s="40"/>
      <x:c r="M755" s="42"/>
      <x:c r="N755" s="42" t="str">
        <x:f>IF(OR(L755="",M755=""),"",L755*M755)</x:f>
      </x:c>
      <x:c r="O755" s="40"/>
      <x:c r="P755" s="40"/>
      <x:c r="Q755" s="40"/>
      <x:c r="U755" s="42"/>
    </x:row>
    <x:row r="756">
      <x:c r="B756" s="40"/>
      <x:c r="M756" s="42"/>
      <x:c r="N756" s="42" t="str">
        <x:f>IF(OR(L756="",M756=""),"",L756*M756)</x:f>
      </x:c>
      <x:c r="O756" s="40"/>
      <x:c r="P756" s="40"/>
      <x:c r="Q756" s="40"/>
      <x:c r="U756" s="42"/>
    </x:row>
    <x:row r="757">
      <x:c r="B757" s="40"/>
      <x:c r="M757" s="42"/>
      <x:c r="N757" s="42" t="str">
        <x:f>IF(OR(L757="",M757=""),"",L757*M757)</x:f>
      </x:c>
      <x:c r="O757" s="40"/>
      <x:c r="P757" s="40"/>
      <x:c r="Q757" s="40"/>
      <x:c r="U757" s="42"/>
    </x:row>
    <x:row r="758">
      <x:c r="B758" s="40"/>
      <x:c r="M758" s="42"/>
      <x:c r="N758" s="42" t="str">
        <x:f>IF(OR(L758="",M758=""),"",L758*M758)</x:f>
      </x:c>
      <x:c r="O758" s="40"/>
      <x:c r="P758" s="40"/>
      <x:c r="Q758" s="40"/>
      <x:c r="U758" s="42"/>
    </x:row>
    <x:row r="759">
      <x:c r="B759" s="40"/>
      <x:c r="M759" s="42"/>
      <x:c r="N759" s="42" t="str">
        <x:f>IF(OR(L759="",M759=""),"",L759*M759)</x:f>
      </x:c>
      <x:c r="O759" s="40"/>
      <x:c r="P759" s="40"/>
      <x:c r="Q759" s="40"/>
      <x:c r="U759" s="42"/>
    </x:row>
    <x:row r="760">
      <x:c r="B760" s="40"/>
      <x:c r="M760" s="42"/>
      <x:c r="N760" s="42" t="str">
        <x:f>IF(OR(L760="",M760=""),"",L760*M760)</x:f>
      </x:c>
      <x:c r="O760" s="40"/>
      <x:c r="P760" s="40"/>
      <x:c r="Q760" s="40"/>
      <x:c r="U760" s="42"/>
    </x:row>
    <x:row r="761">
      <x:c r="B761" s="40"/>
      <x:c r="M761" s="42"/>
      <x:c r="N761" s="42" t="str">
        <x:f>IF(OR(L761="",M761=""),"",L761*M761)</x:f>
      </x:c>
      <x:c r="O761" s="40"/>
      <x:c r="P761" s="40"/>
      <x:c r="Q761" s="40"/>
      <x:c r="U761" s="42"/>
    </x:row>
    <x:row r="762">
      <x:c r="B762" s="40"/>
      <x:c r="M762" s="42"/>
      <x:c r="N762" s="42" t="str">
        <x:f>IF(OR(L762="",M762=""),"",L762*M762)</x:f>
      </x:c>
      <x:c r="O762" s="40"/>
      <x:c r="P762" s="40"/>
      <x:c r="Q762" s="40"/>
      <x:c r="U762" s="42"/>
    </x:row>
    <x:row r="763">
      <x:c r="B763" s="40"/>
      <x:c r="M763" s="42"/>
      <x:c r="N763" s="42" t="str">
        <x:f>IF(OR(L763="",M763=""),"",L763*M763)</x:f>
      </x:c>
      <x:c r="O763" s="40"/>
      <x:c r="P763" s="40"/>
      <x:c r="Q763" s="40"/>
      <x:c r="U763" s="42"/>
    </x:row>
    <x:row r="764">
      <x:c r="B764" s="40"/>
      <x:c r="M764" s="42"/>
      <x:c r="N764" s="42" t="str">
        <x:f>IF(OR(L764="",M764=""),"",L764*M764)</x:f>
      </x:c>
      <x:c r="O764" s="40"/>
      <x:c r="P764" s="40"/>
      <x:c r="Q764" s="40"/>
      <x:c r="U764" s="42"/>
    </x:row>
    <x:row r="765">
      <x:c r="B765" s="40"/>
      <x:c r="M765" s="42"/>
      <x:c r="N765" s="42" t="str">
        <x:f>IF(OR(L765="",M765=""),"",L765*M765)</x:f>
      </x:c>
      <x:c r="O765" s="40"/>
      <x:c r="P765" s="40"/>
      <x:c r="Q765" s="40"/>
      <x:c r="U765" s="42"/>
    </x:row>
    <x:row r="766">
      <x:c r="B766" s="40"/>
      <x:c r="M766" s="42"/>
      <x:c r="N766" s="42" t="str">
        <x:f>IF(OR(L766="",M766=""),"",L766*M766)</x:f>
      </x:c>
      <x:c r="O766" s="40"/>
      <x:c r="P766" s="40"/>
      <x:c r="Q766" s="40"/>
      <x:c r="U766" s="42"/>
    </x:row>
    <x:row r="767">
      <x:c r="B767" s="40"/>
      <x:c r="M767" s="42"/>
      <x:c r="N767" s="42" t="str">
        <x:f>IF(OR(L767="",M767=""),"",L767*M767)</x:f>
      </x:c>
      <x:c r="O767" s="40"/>
      <x:c r="P767" s="40"/>
      <x:c r="Q767" s="40"/>
      <x:c r="U767" s="42"/>
    </x:row>
    <x:row r="768">
      <x:c r="B768" s="40"/>
      <x:c r="M768" s="42"/>
      <x:c r="N768" s="42" t="str">
        <x:f>IF(OR(L768="",M768=""),"",L768*M768)</x:f>
      </x:c>
      <x:c r="O768" s="40"/>
      <x:c r="P768" s="40"/>
      <x:c r="Q768" s="40"/>
      <x:c r="U768" s="42"/>
    </x:row>
    <x:row r="769">
      <x:c r="B769" s="40"/>
      <x:c r="M769" s="42"/>
      <x:c r="N769" s="42" t="str">
        <x:f>IF(OR(L769="",M769=""),"",L769*M769)</x:f>
      </x:c>
      <x:c r="O769" s="40"/>
      <x:c r="P769" s="40"/>
      <x:c r="Q769" s="40"/>
      <x:c r="U769" s="42"/>
    </x:row>
    <x:row r="770">
      <x:c r="B770" s="40"/>
      <x:c r="M770" s="42"/>
      <x:c r="N770" s="42" t="str">
        <x:f>IF(OR(L770="",M770=""),"",L770*M770)</x:f>
      </x:c>
      <x:c r="O770" s="40"/>
      <x:c r="P770" s="40"/>
      <x:c r="Q770" s="40"/>
      <x:c r="U770" s="42"/>
    </x:row>
    <x:row r="771">
      <x:c r="B771" s="40"/>
      <x:c r="M771" s="42"/>
      <x:c r="N771" s="42" t="str">
        <x:f>IF(OR(L771="",M771=""),"",L771*M771)</x:f>
      </x:c>
      <x:c r="O771" s="40"/>
      <x:c r="P771" s="40"/>
      <x:c r="Q771" s="40"/>
      <x:c r="U771" s="42"/>
    </x:row>
    <x:row r="772">
      <x:c r="B772" s="40"/>
      <x:c r="M772" s="42"/>
      <x:c r="N772" s="42" t="str">
        <x:f>IF(OR(L772="",M772=""),"",L772*M772)</x:f>
      </x:c>
      <x:c r="O772" s="40"/>
      <x:c r="P772" s="40"/>
      <x:c r="Q772" s="40"/>
      <x:c r="U772" s="42"/>
    </x:row>
    <x:row r="773">
      <x:c r="B773" s="40"/>
      <x:c r="M773" s="42"/>
      <x:c r="N773" s="42" t="str">
        <x:f>IF(OR(L773="",M773=""),"",L773*M773)</x:f>
      </x:c>
      <x:c r="O773" s="40"/>
      <x:c r="P773" s="40"/>
      <x:c r="Q773" s="40"/>
      <x:c r="U773" s="42"/>
    </x:row>
    <x:row r="774">
      <x:c r="B774" s="40"/>
      <x:c r="M774" s="42"/>
      <x:c r="N774" s="42" t="str">
        <x:f>IF(OR(L774="",M774=""),"",L774*M774)</x:f>
      </x:c>
      <x:c r="O774" s="40"/>
      <x:c r="P774" s="40"/>
      <x:c r="Q774" s="40"/>
      <x:c r="U774" s="42"/>
    </x:row>
    <x:row r="775">
      <x:c r="B775" s="40"/>
      <x:c r="M775" s="42"/>
      <x:c r="N775" s="42" t="str">
        <x:f>IF(OR(L775="",M775=""),"",L775*M775)</x:f>
      </x:c>
      <x:c r="O775" s="40"/>
      <x:c r="P775" s="40"/>
      <x:c r="Q775" s="40"/>
      <x:c r="U775" s="42"/>
    </x:row>
    <x:row r="776">
      <x:c r="B776" s="40"/>
      <x:c r="M776" s="42"/>
      <x:c r="N776" s="42" t="str">
        <x:f>IF(OR(L776="",M776=""),"",L776*M776)</x:f>
      </x:c>
      <x:c r="O776" s="40"/>
      <x:c r="P776" s="40"/>
      <x:c r="Q776" s="40"/>
      <x:c r="U776" s="42"/>
    </x:row>
    <x:row r="777">
      <x:c r="B777" s="40"/>
      <x:c r="M777" s="42"/>
      <x:c r="N777" s="42" t="str">
        <x:f>IF(OR(L777="",M777=""),"",L777*M777)</x:f>
      </x:c>
      <x:c r="O777" s="40"/>
      <x:c r="P777" s="40"/>
      <x:c r="Q777" s="40"/>
      <x:c r="U777" s="42"/>
    </x:row>
    <x:row r="778">
      <x:c r="B778" s="40"/>
      <x:c r="M778" s="42"/>
      <x:c r="N778" s="42" t="str">
        <x:f>IF(OR(L778="",M778=""),"",L778*M778)</x:f>
      </x:c>
      <x:c r="O778" s="40"/>
      <x:c r="P778" s="40"/>
      <x:c r="Q778" s="40"/>
      <x:c r="U778" s="42"/>
    </x:row>
    <x:row r="779">
      <x:c r="B779" s="40"/>
      <x:c r="M779" s="42"/>
      <x:c r="N779" s="42" t="str">
        <x:f>IF(OR(L779="",M779=""),"",L779*M779)</x:f>
      </x:c>
      <x:c r="O779" s="40"/>
      <x:c r="P779" s="40"/>
      <x:c r="Q779" s="40"/>
      <x:c r="U779" s="42"/>
    </x:row>
    <x:row r="780">
      <x:c r="B780" s="40"/>
      <x:c r="M780" s="42"/>
      <x:c r="N780" s="42" t="str">
        <x:f>IF(OR(L780="",M780=""),"",L780*M780)</x:f>
      </x:c>
      <x:c r="O780" s="40"/>
      <x:c r="P780" s="40"/>
      <x:c r="Q780" s="40"/>
      <x:c r="U780" s="42"/>
    </x:row>
    <x:row r="781">
      <x:c r="B781" s="40"/>
      <x:c r="M781" s="42"/>
      <x:c r="N781" s="42" t="str">
        <x:f>IF(OR(L781="",M781=""),"",L781*M781)</x:f>
      </x:c>
      <x:c r="O781" s="40"/>
      <x:c r="P781" s="40"/>
      <x:c r="Q781" s="40"/>
      <x:c r="U781" s="42"/>
    </x:row>
    <x:row r="782">
      <x:c r="B782" s="40"/>
      <x:c r="M782" s="42"/>
      <x:c r="N782" s="42" t="str">
        <x:f>IF(OR(L782="",M782=""),"",L782*M782)</x:f>
      </x:c>
      <x:c r="O782" s="40"/>
      <x:c r="P782" s="40"/>
      <x:c r="Q782" s="40"/>
      <x:c r="U782" s="42"/>
    </x:row>
    <x:row r="783">
      <x:c r="B783" s="40"/>
      <x:c r="M783" s="42"/>
      <x:c r="N783" s="42" t="str">
        <x:f>IF(OR(L783="",M783=""),"",L783*M783)</x:f>
      </x:c>
      <x:c r="O783" s="40"/>
      <x:c r="P783" s="40"/>
      <x:c r="Q783" s="40"/>
      <x:c r="U783" s="42"/>
    </x:row>
    <x:row r="784">
      <x:c r="B784" s="40"/>
      <x:c r="M784" s="42"/>
      <x:c r="N784" s="42" t="str">
        <x:f>IF(OR(L784="",M784=""),"",L784*M784)</x:f>
      </x:c>
      <x:c r="O784" s="40"/>
      <x:c r="P784" s="40"/>
      <x:c r="Q784" s="40"/>
      <x:c r="U784" s="42"/>
    </x:row>
    <x:row r="785">
      <x:c r="B785" s="40"/>
      <x:c r="M785" s="42"/>
      <x:c r="N785" s="42" t="str">
        <x:f>IF(OR(L785="",M785=""),"",L785*M785)</x:f>
      </x:c>
      <x:c r="O785" s="40"/>
      <x:c r="P785" s="40"/>
      <x:c r="Q785" s="40"/>
      <x:c r="U785" s="42"/>
    </x:row>
    <x:row r="786">
      <x:c r="B786" s="40"/>
      <x:c r="M786" s="42"/>
      <x:c r="N786" s="42" t="str">
        <x:f>IF(OR(L786="",M786=""),"",L786*M786)</x:f>
      </x:c>
      <x:c r="O786" s="40"/>
      <x:c r="P786" s="40"/>
      <x:c r="Q786" s="40"/>
      <x:c r="U786" s="42"/>
    </x:row>
    <x:row r="787">
      <x:c r="B787" s="40"/>
      <x:c r="M787" s="42"/>
      <x:c r="N787" s="42" t="str">
        <x:f>IF(OR(L787="",M787=""),"",L787*M787)</x:f>
      </x:c>
      <x:c r="O787" s="40"/>
      <x:c r="P787" s="40"/>
      <x:c r="Q787" s="40"/>
      <x:c r="U787" s="42"/>
    </x:row>
    <x:row r="788">
      <x:c r="B788" s="40"/>
      <x:c r="M788" s="42"/>
      <x:c r="N788" s="42" t="str">
        <x:f>IF(OR(L788="",M788=""),"",L788*M788)</x:f>
      </x:c>
      <x:c r="O788" s="40"/>
      <x:c r="P788" s="40"/>
      <x:c r="Q788" s="40"/>
      <x:c r="U788" s="42"/>
    </x:row>
    <x:row r="789">
      <x:c r="B789" s="40"/>
      <x:c r="M789" s="42"/>
      <x:c r="N789" s="42" t="str">
        <x:f>IF(OR(L789="",M789=""),"",L789*M789)</x:f>
      </x:c>
      <x:c r="O789" s="40"/>
      <x:c r="P789" s="40"/>
      <x:c r="Q789" s="40"/>
      <x:c r="U789" s="42"/>
    </x:row>
    <x:row r="790">
      <x:c r="B790" s="40"/>
      <x:c r="M790" s="42"/>
      <x:c r="N790" s="42" t="str">
        <x:f>IF(OR(L790="",M790=""),"",L790*M790)</x:f>
      </x:c>
      <x:c r="O790" s="40"/>
      <x:c r="P790" s="40"/>
      <x:c r="Q790" s="40"/>
      <x:c r="U790" s="42"/>
    </x:row>
    <x:row r="791">
      <x:c r="B791" s="40"/>
      <x:c r="M791" s="42"/>
      <x:c r="N791" s="42" t="str">
        <x:f>IF(OR(L791="",M791=""),"",L791*M791)</x:f>
      </x:c>
      <x:c r="O791" s="40"/>
      <x:c r="P791" s="40"/>
      <x:c r="Q791" s="40"/>
      <x:c r="U791" s="42"/>
    </x:row>
    <x:row r="792">
      <x:c r="B792" s="40"/>
      <x:c r="M792" s="42"/>
      <x:c r="N792" s="42" t="str">
        <x:f>IF(OR(L792="",M792=""),"",L792*M792)</x:f>
      </x:c>
      <x:c r="O792" s="40"/>
      <x:c r="P792" s="40"/>
      <x:c r="Q792" s="40"/>
      <x:c r="U792" s="42"/>
    </x:row>
    <x:row r="793">
      <x:c r="B793" s="40"/>
      <x:c r="M793" s="42"/>
      <x:c r="N793" s="42" t="str">
        <x:f>IF(OR(L793="",M793=""),"",L793*M793)</x:f>
      </x:c>
      <x:c r="O793" s="40"/>
      <x:c r="P793" s="40"/>
      <x:c r="Q793" s="40"/>
      <x:c r="U793" s="42"/>
    </x:row>
    <x:row r="794">
      <x:c r="B794" s="40"/>
      <x:c r="M794" s="42"/>
      <x:c r="N794" s="42" t="str">
        <x:f>IF(OR(L794="",M794=""),"",L794*M794)</x:f>
      </x:c>
      <x:c r="O794" s="40"/>
      <x:c r="P794" s="40"/>
      <x:c r="Q794" s="40"/>
      <x:c r="U794" s="42"/>
    </x:row>
    <x:row r="795">
      <x:c r="B795" s="40"/>
      <x:c r="M795" s="42"/>
      <x:c r="N795" s="42" t="str">
        <x:f>IF(OR(L795="",M795=""),"",L795*M795)</x:f>
      </x:c>
      <x:c r="O795" s="40"/>
      <x:c r="P795" s="40"/>
      <x:c r="Q795" s="40"/>
      <x:c r="U795" s="42"/>
    </x:row>
    <x:row r="796">
      <x:c r="B796" s="40"/>
      <x:c r="M796" s="42"/>
      <x:c r="N796" s="42" t="str">
        <x:f>IF(OR(L796="",M796=""),"",L796*M796)</x:f>
      </x:c>
      <x:c r="O796" s="40"/>
      <x:c r="P796" s="40"/>
      <x:c r="Q796" s="40"/>
      <x:c r="U796" s="42"/>
    </x:row>
    <x:row r="797">
      <x:c r="B797" s="40"/>
      <x:c r="M797" s="42"/>
      <x:c r="N797" s="42" t="str">
        <x:f>IF(OR(L797="",M797=""),"",L797*M797)</x:f>
      </x:c>
      <x:c r="O797" s="40"/>
      <x:c r="P797" s="40"/>
      <x:c r="Q797" s="40"/>
      <x:c r="U797" s="42"/>
    </x:row>
    <x:row r="798">
      <x:c r="B798" s="40"/>
      <x:c r="M798" s="42"/>
      <x:c r="N798" s="42" t="str">
        <x:f>IF(OR(L798="",M798=""),"",L798*M798)</x:f>
      </x:c>
      <x:c r="O798" s="40"/>
      <x:c r="P798" s="40"/>
      <x:c r="Q798" s="40"/>
      <x:c r="U798" s="42"/>
    </x:row>
    <x:row r="799">
      <x:c r="B799" s="40"/>
      <x:c r="M799" s="42"/>
      <x:c r="N799" s="42" t="str">
        <x:f>IF(OR(L799="",M799=""),"",L799*M799)</x:f>
      </x:c>
      <x:c r="O799" s="40"/>
      <x:c r="P799" s="40"/>
      <x:c r="Q799" s="40"/>
      <x:c r="U799" s="42"/>
    </x:row>
    <x:row r="800">
      <x:c r="B800" s="40"/>
      <x:c r="M800" s="42"/>
      <x:c r="N800" s="42" t="str">
        <x:f>IF(OR(L800="",M800=""),"",L800*M800)</x:f>
      </x:c>
      <x:c r="O800" s="40"/>
      <x:c r="P800" s="40"/>
      <x:c r="Q800" s="40"/>
      <x:c r="U800" s="42"/>
    </x:row>
    <x:row r="801">
      <x:c r="B801" s="40"/>
      <x:c r="M801" s="42"/>
      <x:c r="N801" s="42" t="str">
        <x:f>IF(OR(L801="",M801=""),"",L801*M801)</x:f>
      </x:c>
      <x:c r="O801" s="40"/>
      <x:c r="P801" s="40"/>
      <x:c r="Q801" s="40"/>
      <x:c r="U801" s="42"/>
    </x:row>
    <x:row r="802">
      <x:c r="B802" s="40"/>
      <x:c r="M802" s="42"/>
      <x:c r="N802" s="42" t="str">
        <x:f>IF(OR(L802="",M802=""),"",L802*M802)</x:f>
      </x:c>
      <x:c r="O802" s="40"/>
      <x:c r="P802" s="40"/>
      <x:c r="Q802" s="40"/>
      <x:c r="U802" s="42"/>
    </x:row>
    <x:row r="803">
      <x:c r="B803" s="40"/>
      <x:c r="M803" s="42"/>
      <x:c r="N803" s="42" t="str">
        <x:f>IF(OR(L803="",M803=""),"",L803*M803)</x:f>
      </x:c>
      <x:c r="O803" s="40"/>
      <x:c r="P803" s="40"/>
      <x:c r="Q803" s="40"/>
      <x:c r="U803" s="42"/>
    </x:row>
    <x:row r="804">
      <x:c r="B804" s="40"/>
      <x:c r="M804" s="42"/>
      <x:c r="N804" s="42" t="str">
        <x:f>IF(OR(L804="",M804=""),"",L804*M804)</x:f>
      </x:c>
      <x:c r="O804" s="40"/>
      <x:c r="P804" s="40"/>
      <x:c r="Q804" s="40"/>
      <x:c r="U804" s="42"/>
    </x:row>
    <x:row r="805">
      <x:c r="B805" s="40"/>
      <x:c r="M805" s="42"/>
      <x:c r="N805" s="42" t="str">
        <x:f>IF(OR(L805="",M805=""),"",L805*M805)</x:f>
      </x:c>
      <x:c r="O805" s="40"/>
      <x:c r="P805" s="40"/>
      <x:c r="Q805" s="40"/>
      <x:c r="U805" s="42"/>
    </x:row>
    <x:row r="806">
      <x:c r="B806" s="40"/>
      <x:c r="M806" s="42"/>
      <x:c r="N806" s="42" t="str">
        <x:f>IF(OR(L806="",M806=""),"",L806*M806)</x:f>
      </x:c>
      <x:c r="O806" s="40"/>
      <x:c r="P806" s="40"/>
      <x:c r="Q806" s="40"/>
      <x:c r="U806" s="42"/>
    </x:row>
    <x:row r="807">
      <x:c r="B807" s="40"/>
      <x:c r="M807" s="42"/>
      <x:c r="N807" s="42" t="str">
        <x:f>IF(OR(L807="",M807=""),"",L807*M807)</x:f>
      </x:c>
      <x:c r="O807" s="40"/>
      <x:c r="P807" s="40"/>
      <x:c r="Q807" s="40"/>
      <x:c r="U807" s="42"/>
    </x:row>
    <x:row r="808">
      <x:c r="B808" s="40"/>
      <x:c r="M808" s="42"/>
      <x:c r="N808" s="42" t="str">
        <x:f>IF(OR(L808="",M808=""),"",L808*M808)</x:f>
      </x:c>
      <x:c r="O808" s="40"/>
      <x:c r="P808" s="40"/>
      <x:c r="Q808" s="40"/>
      <x:c r="U808" s="42"/>
    </x:row>
    <x:row r="809">
      <x:c r="B809" s="40"/>
      <x:c r="M809" s="42"/>
      <x:c r="N809" s="42" t="str">
        <x:f>IF(OR(L809="",M809=""),"",L809*M809)</x:f>
      </x:c>
      <x:c r="O809" s="40"/>
      <x:c r="P809" s="40"/>
      <x:c r="Q809" s="40"/>
      <x:c r="U809" s="42"/>
    </x:row>
    <x:row r="810">
      <x:c r="B810" s="40"/>
      <x:c r="M810" s="42"/>
      <x:c r="N810" s="42" t="str">
        <x:f>IF(OR(L810="",M810=""),"",L810*M810)</x:f>
      </x:c>
      <x:c r="O810" s="40"/>
      <x:c r="P810" s="40"/>
      <x:c r="Q810" s="40"/>
      <x:c r="U810" s="42"/>
    </x:row>
    <x:row r="811">
      <x:c r="B811" s="40"/>
      <x:c r="M811" s="42"/>
      <x:c r="N811" s="42" t="str">
        <x:f>IF(OR(L811="",M811=""),"",L811*M811)</x:f>
      </x:c>
      <x:c r="O811" s="40"/>
      <x:c r="P811" s="40"/>
      <x:c r="Q811" s="40"/>
      <x:c r="U811" s="42"/>
    </x:row>
    <x:row r="812">
      <x:c r="B812" s="40"/>
      <x:c r="M812" s="42"/>
      <x:c r="N812" s="42" t="str">
        <x:f>IF(OR(L812="",M812=""),"",L812*M812)</x:f>
      </x:c>
      <x:c r="O812" s="40"/>
      <x:c r="P812" s="40"/>
      <x:c r="Q812" s="40"/>
      <x:c r="U812" s="42"/>
    </x:row>
    <x:row r="813">
      <x:c r="B813" s="40"/>
      <x:c r="M813" s="42"/>
      <x:c r="N813" s="42" t="str">
        <x:f>IF(OR(L813="",M813=""),"",L813*M813)</x:f>
      </x:c>
      <x:c r="O813" s="40"/>
      <x:c r="P813" s="40"/>
      <x:c r="Q813" s="40"/>
      <x:c r="U813" s="42"/>
    </x:row>
    <x:row r="814">
      <x:c r="B814" s="40"/>
      <x:c r="M814" s="42"/>
      <x:c r="N814" s="42" t="str">
        <x:f>IF(OR(L814="",M814=""),"",L814*M814)</x:f>
      </x:c>
      <x:c r="O814" s="40"/>
      <x:c r="P814" s="40"/>
      <x:c r="Q814" s="40"/>
      <x:c r="U814" s="42"/>
    </x:row>
    <x:row r="815">
      <x:c r="B815" s="40"/>
      <x:c r="M815" s="42"/>
      <x:c r="N815" s="42" t="str">
        <x:f>IF(OR(L815="",M815=""),"",L815*M815)</x:f>
      </x:c>
      <x:c r="O815" s="40"/>
      <x:c r="P815" s="40"/>
      <x:c r="Q815" s="40"/>
      <x:c r="U815" s="42"/>
    </x:row>
    <x:row r="816">
      <x:c r="B816" s="40"/>
      <x:c r="M816" s="42"/>
      <x:c r="N816" s="42" t="str">
        <x:f>IF(OR(L816="",M816=""),"",L816*M816)</x:f>
      </x:c>
      <x:c r="O816" s="40"/>
      <x:c r="P816" s="40"/>
      <x:c r="Q816" s="40"/>
      <x:c r="U816" s="42"/>
    </x:row>
    <x:row r="817">
      <x:c r="B817" s="40"/>
      <x:c r="M817" s="42"/>
      <x:c r="N817" s="42" t="str">
        <x:f>IF(OR(L817="",M817=""),"",L817*M817)</x:f>
      </x:c>
      <x:c r="O817" s="40"/>
      <x:c r="P817" s="40"/>
      <x:c r="Q817" s="40"/>
      <x:c r="U817" s="42"/>
    </x:row>
    <x:row r="818">
      <x:c r="B818" s="40"/>
      <x:c r="M818" s="42"/>
      <x:c r="N818" s="42" t="str">
        <x:f>IF(OR(L818="",M818=""),"",L818*M818)</x:f>
      </x:c>
      <x:c r="O818" s="40"/>
      <x:c r="P818" s="40"/>
      <x:c r="Q818" s="40"/>
      <x:c r="U818" s="42"/>
    </x:row>
    <x:row r="819">
      <x:c r="B819" s="40"/>
      <x:c r="M819" s="42"/>
      <x:c r="N819" s="42" t="str">
        <x:f>IF(OR(L819="",M819=""),"",L819*M819)</x:f>
      </x:c>
      <x:c r="O819" s="40"/>
      <x:c r="P819" s="40"/>
      <x:c r="Q819" s="40"/>
      <x:c r="U819" s="42"/>
    </x:row>
    <x:row r="820">
      <x:c r="B820" s="40"/>
      <x:c r="M820" s="42"/>
      <x:c r="N820" s="42" t="str">
        <x:f>IF(OR(L820="",M820=""),"",L820*M820)</x:f>
      </x:c>
      <x:c r="O820" s="40"/>
      <x:c r="P820" s="40"/>
      <x:c r="Q820" s="40"/>
      <x:c r="U820" s="42"/>
    </x:row>
    <x:row r="821">
      <x:c r="B821" s="40"/>
      <x:c r="M821" s="42"/>
      <x:c r="N821" s="42" t="str">
        <x:f>IF(OR(L821="",M821=""),"",L821*M821)</x:f>
      </x:c>
      <x:c r="O821" s="40"/>
      <x:c r="P821" s="40"/>
      <x:c r="Q821" s="40"/>
      <x:c r="U821" s="42"/>
    </x:row>
    <x:row r="822">
      <x:c r="B822" s="40"/>
      <x:c r="M822" s="42"/>
      <x:c r="N822" s="42" t="str">
        <x:f>IF(OR(L822="",M822=""),"",L822*M822)</x:f>
      </x:c>
      <x:c r="O822" s="40"/>
      <x:c r="P822" s="40"/>
      <x:c r="Q822" s="40"/>
      <x:c r="U822" s="42"/>
    </x:row>
    <x:row r="823">
      <x:c r="B823" s="40"/>
      <x:c r="M823" s="42"/>
      <x:c r="N823" s="42" t="str">
        <x:f>IF(OR(L823="",M823=""),"",L823*M823)</x:f>
      </x:c>
      <x:c r="O823" s="40"/>
      <x:c r="P823" s="40"/>
      <x:c r="Q823" s="40"/>
      <x:c r="U823" s="42"/>
    </x:row>
    <x:row r="824">
      <x:c r="B824" s="40"/>
      <x:c r="M824" s="42"/>
      <x:c r="N824" s="42" t="str">
        <x:f>IF(OR(L824="",M824=""),"",L824*M824)</x:f>
      </x:c>
      <x:c r="O824" s="40"/>
      <x:c r="P824" s="40"/>
      <x:c r="Q824" s="40"/>
      <x:c r="U824" s="42"/>
    </x:row>
    <x:row r="825">
      <x:c r="B825" s="40"/>
      <x:c r="M825" s="42"/>
      <x:c r="N825" s="42" t="str">
        <x:f>IF(OR(L825="",M825=""),"",L825*M825)</x:f>
      </x:c>
      <x:c r="O825" s="40"/>
      <x:c r="P825" s="40"/>
      <x:c r="Q825" s="40"/>
      <x:c r="U825" s="42"/>
    </x:row>
    <x:row r="826">
      <x:c r="B826" s="40"/>
      <x:c r="M826" s="42"/>
      <x:c r="N826" s="42" t="str">
        <x:f>IF(OR(L826="",M826=""),"",L826*M826)</x:f>
      </x:c>
      <x:c r="O826" s="40"/>
      <x:c r="P826" s="40"/>
      <x:c r="Q826" s="40"/>
      <x:c r="U826" s="42"/>
    </x:row>
    <x:row r="827">
      <x:c r="B827" s="40"/>
      <x:c r="M827" s="42"/>
      <x:c r="N827" s="42" t="str">
        <x:f>IF(OR(L827="",M827=""),"",L827*M827)</x:f>
      </x:c>
      <x:c r="O827" s="40"/>
      <x:c r="P827" s="40"/>
      <x:c r="Q827" s="40"/>
      <x:c r="U827" s="42"/>
    </x:row>
    <x:row r="828">
      <x:c r="B828" s="40"/>
      <x:c r="M828" s="42"/>
      <x:c r="N828" s="42" t="str">
        <x:f>IF(OR(L828="",M828=""),"",L828*M828)</x:f>
      </x:c>
      <x:c r="O828" s="40"/>
      <x:c r="P828" s="40"/>
      <x:c r="Q828" s="40"/>
      <x:c r="U828" s="42"/>
    </x:row>
    <x:row r="829">
      <x:c r="B829" s="40"/>
      <x:c r="M829" s="42"/>
      <x:c r="N829" s="42" t="str">
        <x:f>IF(OR(L829="",M829=""),"",L829*M829)</x:f>
      </x:c>
      <x:c r="O829" s="40"/>
      <x:c r="P829" s="40"/>
      <x:c r="Q829" s="40"/>
      <x:c r="U829" s="42"/>
    </x:row>
    <x:row r="830">
      <x:c r="B830" s="40"/>
      <x:c r="M830" s="42"/>
      <x:c r="N830" s="42" t="str">
        <x:f>IF(OR(L830="",M830=""),"",L830*M830)</x:f>
      </x:c>
      <x:c r="O830" s="40"/>
      <x:c r="P830" s="40"/>
      <x:c r="Q830" s="40"/>
      <x:c r="U830" s="42"/>
    </x:row>
    <x:row r="831">
      <x:c r="B831" s="40"/>
      <x:c r="M831" s="42"/>
      <x:c r="N831" s="42" t="str">
        <x:f>IF(OR(L831="",M831=""),"",L831*M831)</x:f>
      </x:c>
      <x:c r="O831" s="40"/>
      <x:c r="P831" s="40"/>
      <x:c r="Q831" s="40"/>
      <x:c r="U831" s="42"/>
    </x:row>
    <x:row r="832">
      <x:c r="B832" s="40"/>
      <x:c r="M832" s="42"/>
      <x:c r="N832" s="42" t="str">
        <x:f>IF(OR(L832="",M832=""),"",L832*M832)</x:f>
      </x:c>
      <x:c r="O832" s="40"/>
      <x:c r="P832" s="40"/>
      <x:c r="Q832" s="40"/>
      <x:c r="U832" s="42"/>
    </x:row>
    <x:row r="833">
      <x:c r="B833" s="40"/>
      <x:c r="M833" s="42"/>
      <x:c r="N833" s="42" t="str">
        <x:f>IF(OR(L833="",M833=""),"",L833*M833)</x:f>
      </x:c>
      <x:c r="O833" s="40"/>
      <x:c r="P833" s="40"/>
      <x:c r="Q833" s="40"/>
      <x:c r="U833" s="42"/>
    </x:row>
    <x:row r="834">
      <x:c r="B834" s="40"/>
      <x:c r="M834" s="42"/>
      <x:c r="N834" s="42" t="str">
        <x:f>IF(OR(L834="",M834=""),"",L834*M834)</x:f>
      </x:c>
      <x:c r="O834" s="40"/>
      <x:c r="P834" s="40"/>
      <x:c r="Q834" s="40"/>
      <x:c r="U834" s="42"/>
    </x:row>
    <x:row r="835">
      <x:c r="B835" s="40"/>
      <x:c r="M835" s="42"/>
      <x:c r="N835" s="42" t="str">
        <x:f>IF(OR(L835="",M835=""),"",L835*M835)</x:f>
      </x:c>
      <x:c r="O835" s="40"/>
      <x:c r="P835" s="40"/>
      <x:c r="Q835" s="40"/>
      <x:c r="U835" s="42"/>
    </x:row>
    <x:row r="836">
      <x:c r="B836" s="40"/>
      <x:c r="M836" s="42"/>
      <x:c r="N836" s="42" t="str">
        <x:f>IF(OR(L836="",M836=""),"",L836*M836)</x:f>
      </x:c>
      <x:c r="O836" s="40"/>
      <x:c r="P836" s="40"/>
      <x:c r="Q836" s="40"/>
      <x:c r="U836" s="42"/>
    </x:row>
    <x:row r="837">
      <x:c r="B837" s="40"/>
      <x:c r="M837" s="42"/>
      <x:c r="N837" s="42" t="str">
        <x:f>IF(OR(L837="",M837=""),"",L837*M837)</x:f>
      </x:c>
      <x:c r="O837" s="40"/>
      <x:c r="P837" s="40"/>
      <x:c r="Q837" s="40"/>
      <x:c r="U837" s="42"/>
    </x:row>
    <x:row r="838">
      <x:c r="B838" s="40"/>
      <x:c r="M838" s="42"/>
      <x:c r="N838" s="42" t="str">
        <x:f>IF(OR(L838="",M838=""),"",L838*M838)</x:f>
      </x:c>
      <x:c r="O838" s="40"/>
      <x:c r="P838" s="40"/>
      <x:c r="Q838" s="40"/>
      <x:c r="U838" s="42"/>
    </x:row>
    <x:row r="839">
      <x:c r="B839" s="40"/>
      <x:c r="M839" s="42"/>
      <x:c r="N839" s="42" t="str">
        <x:f>IF(OR(L839="",M839=""),"",L839*M839)</x:f>
      </x:c>
      <x:c r="O839" s="40"/>
      <x:c r="P839" s="40"/>
      <x:c r="Q839" s="40"/>
      <x:c r="U839" s="42"/>
    </x:row>
    <x:row r="840">
      <x:c r="B840" s="40"/>
      <x:c r="M840" s="42"/>
      <x:c r="N840" s="42" t="str">
        <x:f>IF(OR(L840="",M840=""),"",L840*M840)</x:f>
      </x:c>
      <x:c r="O840" s="40"/>
      <x:c r="P840" s="40"/>
      <x:c r="Q840" s="40"/>
      <x:c r="U840" s="42"/>
    </x:row>
    <x:row r="841">
      <x:c r="B841" s="40"/>
      <x:c r="M841" s="42"/>
      <x:c r="N841" s="42" t="str">
        <x:f>IF(OR(L841="",M841=""),"",L841*M841)</x:f>
      </x:c>
      <x:c r="O841" s="40"/>
      <x:c r="P841" s="40"/>
      <x:c r="Q841" s="40"/>
      <x:c r="U841" s="42"/>
    </x:row>
    <x:row r="842">
      <x:c r="B842" s="40"/>
      <x:c r="M842" s="42"/>
      <x:c r="N842" s="42" t="str">
        <x:f>IF(OR(L842="",M842=""),"",L842*M842)</x:f>
      </x:c>
      <x:c r="O842" s="40"/>
      <x:c r="P842" s="40"/>
      <x:c r="Q842" s="40"/>
      <x:c r="U842" s="42"/>
    </x:row>
    <x:row r="843">
      <x:c r="B843" s="40"/>
      <x:c r="M843" s="42"/>
      <x:c r="N843" s="42" t="str">
        <x:f>IF(OR(L843="",M843=""),"",L843*M843)</x:f>
      </x:c>
      <x:c r="O843" s="40"/>
      <x:c r="P843" s="40"/>
      <x:c r="Q843" s="40"/>
      <x:c r="U843" s="42"/>
    </x:row>
    <x:row r="844">
      <x:c r="B844" s="40"/>
      <x:c r="M844" s="42"/>
      <x:c r="N844" s="42" t="str">
        <x:f>IF(OR(L844="",M844=""),"",L844*M844)</x:f>
      </x:c>
      <x:c r="O844" s="40"/>
      <x:c r="P844" s="40"/>
      <x:c r="Q844" s="40"/>
      <x:c r="U844" s="42"/>
    </x:row>
    <x:row r="845">
      <x:c r="B845" s="40"/>
      <x:c r="M845" s="42"/>
      <x:c r="N845" s="42" t="str">
        <x:f>IF(OR(L845="",M845=""),"",L845*M845)</x:f>
      </x:c>
      <x:c r="O845" s="40"/>
      <x:c r="P845" s="40"/>
      <x:c r="Q845" s="40"/>
      <x:c r="U845" s="42"/>
    </x:row>
    <x:row r="846">
      <x:c r="B846" s="40"/>
      <x:c r="M846" s="42"/>
      <x:c r="N846" s="42" t="str">
        <x:f>IF(OR(L846="",M846=""),"",L846*M846)</x:f>
      </x:c>
      <x:c r="O846" s="40"/>
      <x:c r="P846" s="40"/>
      <x:c r="Q846" s="40"/>
      <x:c r="U846" s="42"/>
    </x:row>
    <x:row r="847">
      <x:c r="B847" s="40"/>
      <x:c r="M847" s="42"/>
      <x:c r="N847" s="42" t="str">
        <x:f>IF(OR(L847="",M847=""),"",L847*M847)</x:f>
      </x:c>
      <x:c r="O847" s="40"/>
      <x:c r="P847" s="40"/>
      <x:c r="Q847" s="40"/>
      <x:c r="U847" s="42"/>
    </x:row>
    <x:row r="848">
      <x:c r="B848" s="40"/>
      <x:c r="M848" s="42"/>
      <x:c r="N848" s="42" t="str">
        <x:f>IF(OR(L848="",M848=""),"",L848*M848)</x:f>
      </x:c>
      <x:c r="O848" s="40"/>
      <x:c r="P848" s="40"/>
      <x:c r="Q848" s="40"/>
      <x:c r="U848" s="42"/>
    </x:row>
    <x:row r="849">
      <x:c r="B849" s="40"/>
      <x:c r="M849" s="42"/>
      <x:c r="N849" s="42" t="str">
        <x:f>IF(OR(L849="",M849=""),"",L849*M849)</x:f>
      </x:c>
      <x:c r="O849" s="40"/>
      <x:c r="P849" s="40"/>
      <x:c r="Q849" s="40"/>
      <x:c r="U849" s="42"/>
    </x:row>
    <x:row r="850">
      <x:c r="B850" s="40"/>
      <x:c r="M850" s="42"/>
      <x:c r="N850" s="42" t="str">
        <x:f>IF(OR(L850="",M850=""),"",L850*M850)</x:f>
      </x:c>
      <x:c r="O850" s="40"/>
      <x:c r="P850" s="40"/>
      <x:c r="Q850" s="40"/>
      <x:c r="U850" s="42"/>
    </x:row>
    <x:row r="851">
      <x:c r="B851" s="40"/>
      <x:c r="M851" s="42"/>
      <x:c r="N851" s="42" t="str">
        <x:f>IF(OR(L851="",M851=""),"",L851*M851)</x:f>
      </x:c>
      <x:c r="O851" s="40"/>
      <x:c r="P851" s="40"/>
      <x:c r="Q851" s="40"/>
      <x:c r="U851" s="42"/>
    </x:row>
    <x:row r="852">
      <x:c r="B852" s="40"/>
      <x:c r="M852" s="42"/>
      <x:c r="N852" s="42" t="str">
        <x:f>IF(OR(L852="",M852=""),"",L852*M852)</x:f>
      </x:c>
      <x:c r="O852" s="40"/>
      <x:c r="P852" s="40"/>
      <x:c r="Q852" s="40"/>
      <x:c r="U852" s="42"/>
    </x:row>
    <x:row r="853">
      <x:c r="B853" s="40"/>
      <x:c r="M853" s="42"/>
      <x:c r="N853" s="42" t="str">
        <x:f>IF(OR(L853="",M853=""),"",L853*M853)</x:f>
      </x:c>
      <x:c r="O853" s="40"/>
      <x:c r="P853" s="40"/>
      <x:c r="Q853" s="40"/>
      <x:c r="U853" s="42"/>
    </x:row>
    <x:row r="854">
      <x:c r="B854" s="40"/>
      <x:c r="M854" s="42"/>
      <x:c r="N854" s="42" t="str">
        <x:f>IF(OR(L854="",M854=""),"",L854*M854)</x:f>
      </x:c>
      <x:c r="O854" s="40"/>
      <x:c r="P854" s="40"/>
      <x:c r="Q854" s="40"/>
      <x:c r="U854" s="42"/>
    </x:row>
    <x:row r="855">
      <x:c r="B855" s="40"/>
      <x:c r="M855" s="42"/>
      <x:c r="N855" s="42" t="str">
        <x:f>IF(OR(L855="",M855=""),"",L855*M855)</x:f>
      </x:c>
      <x:c r="O855" s="40"/>
      <x:c r="P855" s="40"/>
      <x:c r="Q855" s="40"/>
      <x:c r="U855" s="42"/>
    </x:row>
    <x:row r="856">
      <x:c r="B856" s="40"/>
      <x:c r="M856" s="42"/>
      <x:c r="N856" s="42" t="str">
        <x:f>IF(OR(L856="",M856=""),"",L856*M856)</x:f>
      </x:c>
      <x:c r="O856" s="40"/>
      <x:c r="P856" s="40"/>
      <x:c r="Q856" s="40"/>
      <x:c r="U856" s="42"/>
    </x:row>
    <x:row r="857">
      <x:c r="B857" s="40"/>
      <x:c r="M857" s="42"/>
      <x:c r="N857" s="42" t="str">
        <x:f>IF(OR(L857="",M857=""),"",L857*M857)</x:f>
      </x:c>
      <x:c r="O857" s="40"/>
      <x:c r="P857" s="40"/>
      <x:c r="Q857" s="40"/>
      <x:c r="U857" s="42"/>
    </x:row>
    <x:row r="858">
      <x:c r="B858" s="40"/>
      <x:c r="M858" s="42"/>
      <x:c r="N858" s="42" t="str">
        <x:f>IF(OR(L858="",M858=""),"",L858*M858)</x:f>
      </x:c>
      <x:c r="O858" s="40"/>
      <x:c r="P858" s="40"/>
      <x:c r="Q858" s="40"/>
      <x:c r="U858" s="42"/>
    </x:row>
    <x:row r="859">
      <x:c r="B859" s="40"/>
      <x:c r="M859" s="42"/>
      <x:c r="N859" s="42" t="str">
        <x:f>IF(OR(L859="",M859=""),"",L859*M859)</x:f>
      </x:c>
      <x:c r="O859" s="40"/>
      <x:c r="P859" s="40"/>
      <x:c r="Q859" s="40"/>
      <x:c r="U859" s="42"/>
    </x:row>
    <x:row r="860">
      <x:c r="B860" s="40"/>
      <x:c r="M860" s="42"/>
      <x:c r="N860" s="42" t="str">
        <x:f>IF(OR(L860="",M860=""),"",L860*M860)</x:f>
      </x:c>
      <x:c r="O860" s="40"/>
      <x:c r="P860" s="40"/>
      <x:c r="Q860" s="40"/>
      <x:c r="U860" s="42"/>
    </x:row>
    <x:row r="861">
      <x:c r="B861" s="40"/>
      <x:c r="M861" s="42"/>
      <x:c r="N861" s="42" t="str">
        <x:f>IF(OR(L861="",M861=""),"",L861*M861)</x:f>
      </x:c>
      <x:c r="O861" s="40"/>
      <x:c r="P861" s="40"/>
      <x:c r="Q861" s="40"/>
      <x:c r="U861" s="42"/>
    </x:row>
    <x:row r="862">
      <x:c r="B862" s="40"/>
      <x:c r="M862" s="42"/>
      <x:c r="N862" s="42" t="str">
        <x:f>IF(OR(L862="",M862=""),"",L862*M862)</x:f>
      </x:c>
      <x:c r="O862" s="40"/>
      <x:c r="P862" s="40"/>
      <x:c r="Q862" s="40"/>
      <x:c r="U862" s="42"/>
    </x:row>
    <x:row r="863">
      <x:c r="B863" s="40"/>
      <x:c r="M863" s="42"/>
      <x:c r="N863" s="42" t="str">
        <x:f>IF(OR(L863="",M863=""),"",L863*M863)</x:f>
      </x:c>
      <x:c r="O863" s="40"/>
      <x:c r="P863" s="40"/>
      <x:c r="Q863" s="40"/>
      <x:c r="U863" s="42"/>
    </x:row>
    <x:row r="864">
      <x:c r="B864" s="40"/>
      <x:c r="M864" s="42"/>
      <x:c r="N864" s="42" t="str">
        <x:f>IF(OR(L864="",M864=""),"",L864*M864)</x:f>
      </x:c>
      <x:c r="O864" s="40"/>
      <x:c r="P864" s="40"/>
      <x:c r="Q864" s="40"/>
      <x:c r="U864" s="42"/>
    </x:row>
    <x:row r="865">
      <x:c r="B865" s="40"/>
      <x:c r="M865" s="42"/>
      <x:c r="N865" s="42" t="str">
        <x:f>IF(OR(L865="",M865=""),"",L865*M865)</x:f>
      </x:c>
      <x:c r="O865" s="40"/>
      <x:c r="P865" s="40"/>
      <x:c r="Q865" s="40"/>
      <x:c r="U865" s="42"/>
    </x:row>
    <x:row r="866">
      <x:c r="B866" s="40"/>
      <x:c r="M866" s="42"/>
      <x:c r="N866" s="42" t="str">
        <x:f>IF(OR(L866="",M866=""),"",L866*M866)</x:f>
      </x:c>
      <x:c r="O866" s="40"/>
      <x:c r="P866" s="40"/>
      <x:c r="Q866" s="40"/>
      <x:c r="U866" s="42"/>
    </x:row>
    <x:row r="867">
      <x:c r="B867" s="40"/>
      <x:c r="M867" s="42"/>
      <x:c r="N867" s="42" t="str">
        <x:f>IF(OR(L867="",M867=""),"",L867*M867)</x:f>
      </x:c>
      <x:c r="O867" s="40"/>
      <x:c r="P867" s="40"/>
      <x:c r="Q867" s="40"/>
      <x:c r="U867" s="42"/>
    </x:row>
    <x:row r="868">
      <x:c r="B868" s="40"/>
      <x:c r="M868" s="42"/>
      <x:c r="N868" s="42" t="str">
        <x:f>IF(OR(L868="",M868=""),"",L868*M868)</x:f>
      </x:c>
      <x:c r="O868" s="40"/>
      <x:c r="P868" s="40"/>
      <x:c r="Q868" s="40"/>
      <x:c r="U868" s="42"/>
    </x:row>
    <x:row r="869">
      <x:c r="B869" s="40"/>
      <x:c r="M869" s="42"/>
      <x:c r="N869" s="42" t="str">
        <x:f>IF(OR(L869="",M869=""),"",L869*M869)</x:f>
      </x:c>
      <x:c r="O869" s="40"/>
      <x:c r="P869" s="40"/>
      <x:c r="Q869" s="40"/>
      <x:c r="U869" s="42"/>
    </x:row>
    <x:row r="870">
      <x:c r="B870" s="40"/>
      <x:c r="M870" s="42"/>
      <x:c r="N870" s="42" t="str">
        <x:f>IF(OR(L870="",M870=""),"",L870*M870)</x:f>
      </x:c>
      <x:c r="O870" s="40"/>
      <x:c r="P870" s="40"/>
      <x:c r="Q870" s="40"/>
      <x:c r="U870" s="42"/>
    </x:row>
    <x:row r="871">
      <x:c r="B871" s="40"/>
      <x:c r="M871" s="42"/>
      <x:c r="N871" s="42" t="str">
        <x:f>IF(OR(L871="",M871=""),"",L871*M871)</x:f>
      </x:c>
      <x:c r="O871" s="40"/>
      <x:c r="P871" s="40"/>
      <x:c r="Q871" s="40"/>
      <x:c r="U871" s="42"/>
    </x:row>
    <x:row r="872">
      <x:c r="B872" s="40"/>
      <x:c r="M872" s="42"/>
      <x:c r="N872" s="42" t="str">
        <x:f>IF(OR(L872="",M872=""),"",L872*M872)</x:f>
      </x:c>
      <x:c r="O872" s="40"/>
      <x:c r="P872" s="40"/>
      <x:c r="Q872" s="40"/>
      <x:c r="U872" s="42"/>
    </x:row>
    <x:row r="873">
      <x:c r="B873" s="40"/>
      <x:c r="M873" s="42"/>
      <x:c r="N873" s="42" t="str">
        <x:f>IF(OR(L873="",M873=""),"",L873*M873)</x:f>
      </x:c>
      <x:c r="O873" s="40"/>
      <x:c r="P873" s="40"/>
      <x:c r="Q873" s="40"/>
      <x:c r="U873" s="42"/>
    </x:row>
    <x:row r="874">
      <x:c r="B874" s="40"/>
      <x:c r="M874" s="42"/>
      <x:c r="N874" s="42" t="str">
        <x:f>IF(OR(L874="",M874=""),"",L874*M874)</x:f>
      </x:c>
      <x:c r="O874" s="40"/>
      <x:c r="P874" s="40"/>
      <x:c r="Q874" s="40"/>
      <x:c r="U874" s="42"/>
    </x:row>
    <x:row r="875">
      <x:c r="B875" s="40"/>
      <x:c r="M875" s="42"/>
      <x:c r="N875" s="42" t="str">
        <x:f>IF(OR(L875="",M875=""),"",L875*M875)</x:f>
      </x:c>
      <x:c r="O875" s="40"/>
      <x:c r="P875" s="40"/>
      <x:c r="Q875" s="40"/>
      <x:c r="U875" s="42"/>
    </x:row>
    <x:row r="876">
      <x:c r="B876" s="40"/>
      <x:c r="M876" s="42"/>
      <x:c r="N876" s="42" t="str">
        <x:f>IF(OR(L876="",M876=""),"",L876*M876)</x:f>
      </x:c>
      <x:c r="O876" s="40"/>
      <x:c r="P876" s="40"/>
      <x:c r="Q876" s="40"/>
      <x:c r="U876" s="42"/>
    </x:row>
    <x:row r="877">
      <x:c r="B877" s="40"/>
      <x:c r="M877" s="42"/>
      <x:c r="N877" s="42" t="str">
        <x:f>IF(OR(L877="",M877=""),"",L877*M877)</x:f>
      </x:c>
      <x:c r="O877" s="40"/>
      <x:c r="P877" s="40"/>
      <x:c r="Q877" s="40"/>
      <x:c r="U877" s="42"/>
    </x:row>
    <x:row r="878">
      <x:c r="B878" s="40"/>
      <x:c r="M878" s="42"/>
      <x:c r="N878" s="42" t="str">
        <x:f>IF(OR(L878="",M878=""),"",L878*M878)</x:f>
      </x:c>
      <x:c r="O878" s="40"/>
      <x:c r="P878" s="40"/>
      <x:c r="Q878" s="40"/>
      <x:c r="U878" s="42"/>
    </x:row>
    <x:row r="879">
      <x:c r="B879" s="40"/>
      <x:c r="M879" s="42"/>
      <x:c r="N879" s="42" t="str">
        <x:f>IF(OR(L879="",M879=""),"",L879*M879)</x:f>
      </x:c>
      <x:c r="O879" s="40"/>
      <x:c r="P879" s="40"/>
      <x:c r="Q879" s="40"/>
      <x:c r="U879" s="42"/>
    </x:row>
    <x:row r="880">
      <x:c r="B880" s="40"/>
      <x:c r="M880" s="42"/>
      <x:c r="N880" s="42" t="str">
        <x:f>IF(OR(L880="",M880=""),"",L880*M880)</x:f>
      </x:c>
      <x:c r="O880" s="40"/>
      <x:c r="P880" s="40"/>
      <x:c r="Q880" s="40"/>
      <x:c r="U880" s="42"/>
    </x:row>
    <x:row r="881">
      <x:c r="B881" s="40"/>
      <x:c r="M881" s="42"/>
      <x:c r="N881" s="42" t="str">
        <x:f>IF(OR(L881="",M881=""),"",L881*M881)</x:f>
      </x:c>
      <x:c r="O881" s="40"/>
      <x:c r="P881" s="40"/>
      <x:c r="Q881" s="40"/>
      <x:c r="U881" s="42"/>
    </x:row>
    <x:row r="882">
      <x:c r="B882" s="40"/>
      <x:c r="M882" s="42"/>
      <x:c r="N882" s="42" t="str">
        <x:f>IF(OR(L882="",M882=""),"",L882*M882)</x:f>
      </x:c>
      <x:c r="O882" s="40"/>
      <x:c r="P882" s="40"/>
      <x:c r="Q882" s="40"/>
      <x:c r="U882" s="42"/>
    </x:row>
    <x:row r="883">
      <x:c r="B883" s="40"/>
      <x:c r="M883" s="42"/>
      <x:c r="N883" s="42" t="str">
        <x:f>IF(OR(L883="",M883=""),"",L883*M883)</x:f>
      </x:c>
      <x:c r="O883" s="40"/>
      <x:c r="P883" s="40"/>
      <x:c r="Q883" s="40"/>
      <x:c r="U883" s="42"/>
    </x:row>
    <x:row r="884">
      <x:c r="B884" s="40"/>
      <x:c r="M884" s="42"/>
      <x:c r="N884" s="42" t="str">
        <x:f>IF(OR(L884="",M884=""),"",L884*M884)</x:f>
      </x:c>
      <x:c r="O884" s="40"/>
      <x:c r="P884" s="40"/>
      <x:c r="Q884" s="40"/>
      <x:c r="U884" s="42"/>
    </x:row>
    <x:row r="885">
      <x:c r="B885" s="40"/>
      <x:c r="M885" s="42"/>
      <x:c r="N885" s="42" t="str">
        <x:f>IF(OR(L885="",M885=""),"",L885*M885)</x:f>
      </x:c>
      <x:c r="O885" s="40"/>
      <x:c r="P885" s="40"/>
      <x:c r="Q885" s="40"/>
      <x:c r="U885" s="42"/>
    </x:row>
    <x:row r="886">
      <x:c r="B886" s="40"/>
      <x:c r="M886" s="42"/>
      <x:c r="N886" s="42" t="str">
        <x:f>IF(OR(L886="",M886=""),"",L886*M886)</x:f>
      </x:c>
      <x:c r="O886" s="40"/>
      <x:c r="P886" s="40"/>
      <x:c r="Q886" s="40"/>
      <x:c r="U886" s="42"/>
    </x:row>
    <x:row r="887">
      <x:c r="B887" s="40"/>
      <x:c r="M887" s="42"/>
      <x:c r="N887" s="42" t="str">
        <x:f>IF(OR(L887="",M887=""),"",L887*M887)</x:f>
      </x:c>
      <x:c r="O887" s="40"/>
      <x:c r="P887" s="40"/>
      <x:c r="Q887" s="40"/>
      <x:c r="U887" s="42"/>
    </x:row>
    <x:row r="888">
      <x:c r="B888" s="40"/>
      <x:c r="M888" s="42"/>
      <x:c r="N888" s="42" t="str">
        <x:f>IF(OR(L888="",M888=""),"",L888*M888)</x:f>
      </x:c>
      <x:c r="O888" s="40"/>
      <x:c r="P888" s="40"/>
      <x:c r="Q888" s="40"/>
      <x:c r="U888" s="42"/>
    </x:row>
    <x:row r="889">
      <x:c r="B889" s="40"/>
      <x:c r="M889" s="42"/>
      <x:c r="N889" s="42" t="str">
        <x:f>IF(OR(L889="",M889=""),"",L889*M889)</x:f>
      </x:c>
      <x:c r="O889" s="40"/>
      <x:c r="P889" s="40"/>
      <x:c r="Q889" s="40"/>
      <x:c r="U889" s="42"/>
    </x:row>
    <x:row r="890">
      <x:c r="B890" s="40"/>
      <x:c r="M890" s="42"/>
      <x:c r="N890" s="42" t="str">
        <x:f>IF(OR(L890="",M890=""),"",L890*M890)</x:f>
      </x:c>
      <x:c r="O890" s="40"/>
      <x:c r="P890" s="40"/>
      <x:c r="Q890" s="40"/>
      <x:c r="U890" s="42"/>
    </x:row>
    <x:row r="891">
      <x:c r="B891" s="40"/>
      <x:c r="M891" s="42"/>
      <x:c r="N891" s="42" t="str">
        <x:f>IF(OR(L891="",M891=""),"",L891*M891)</x:f>
      </x:c>
      <x:c r="O891" s="40"/>
      <x:c r="P891" s="40"/>
      <x:c r="Q891" s="40"/>
      <x:c r="U891" s="42"/>
    </x:row>
    <x:row r="892">
      <x:c r="B892" s="40"/>
      <x:c r="M892" s="42"/>
      <x:c r="N892" s="42" t="str">
        <x:f>IF(OR(L892="",M892=""),"",L892*M892)</x:f>
      </x:c>
      <x:c r="O892" s="40"/>
      <x:c r="P892" s="40"/>
      <x:c r="Q892" s="40"/>
      <x:c r="U892" s="42"/>
    </x:row>
    <x:row r="893">
      <x:c r="B893" s="40"/>
      <x:c r="M893" s="42"/>
      <x:c r="N893" s="42" t="str">
        <x:f>IF(OR(L893="",M893=""),"",L893*M893)</x:f>
      </x:c>
      <x:c r="O893" s="40"/>
      <x:c r="P893" s="40"/>
      <x:c r="Q893" s="40"/>
      <x:c r="U893" s="42"/>
    </x:row>
    <x:row r="894">
      <x:c r="B894" s="40"/>
      <x:c r="M894" s="42"/>
      <x:c r="N894" s="42" t="str">
        <x:f>IF(OR(L894="",M894=""),"",L894*M894)</x:f>
      </x:c>
      <x:c r="O894" s="40"/>
      <x:c r="P894" s="40"/>
      <x:c r="Q894" s="40"/>
      <x:c r="U894" s="42"/>
    </x:row>
    <x:row r="895">
      <x:c r="B895" s="40"/>
      <x:c r="M895" s="42"/>
      <x:c r="N895" s="42" t="str">
        <x:f>IF(OR(L895="",M895=""),"",L895*M895)</x:f>
      </x:c>
      <x:c r="O895" s="40"/>
      <x:c r="P895" s="40"/>
      <x:c r="Q895" s="40"/>
      <x:c r="U895" s="42"/>
    </x:row>
    <x:row r="896">
      <x:c r="B896" s="40"/>
      <x:c r="M896" s="42"/>
      <x:c r="N896" s="42" t="str">
        <x:f>IF(OR(L896="",M896=""),"",L896*M896)</x:f>
      </x:c>
      <x:c r="O896" s="40"/>
      <x:c r="P896" s="40"/>
      <x:c r="Q896" s="40"/>
      <x:c r="U896" s="42"/>
    </x:row>
    <x:row r="897">
      <x:c r="B897" s="40"/>
      <x:c r="M897" s="42"/>
      <x:c r="N897" s="42" t="str">
        <x:f>IF(OR(L897="",M897=""),"",L897*M897)</x:f>
      </x:c>
      <x:c r="O897" s="40"/>
      <x:c r="P897" s="40"/>
      <x:c r="Q897" s="40"/>
      <x:c r="U897" s="42"/>
    </x:row>
    <x:row r="898">
      <x:c r="B898" s="40"/>
      <x:c r="M898" s="42"/>
      <x:c r="N898" s="42" t="str">
        <x:f>IF(OR(L898="",M898=""),"",L898*M898)</x:f>
      </x:c>
      <x:c r="O898" s="40"/>
      <x:c r="P898" s="40"/>
      <x:c r="Q898" s="40"/>
      <x:c r="U898" s="42"/>
    </x:row>
    <x:row r="899">
      <x:c r="B899" s="40"/>
      <x:c r="M899" s="42"/>
      <x:c r="N899" s="42" t="str">
        <x:f>IF(OR(L899="",M899=""),"",L899*M899)</x:f>
      </x:c>
      <x:c r="O899" s="40"/>
      <x:c r="P899" s="40"/>
      <x:c r="Q899" s="40"/>
      <x:c r="U899" s="42"/>
    </x:row>
    <x:row r="900">
      <x:c r="B900" s="40"/>
      <x:c r="M900" s="42"/>
      <x:c r="N900" s="42" t="str">
        <x:f>IF(OR(L900="",M900=""),"",L900*M900)</x:f>
      </x:c>
      <x:c r="O900" s="40"/>
      <x:c r="P900" s="40"/>
      <x:c r="Q900" s="40"/>
      <x:c r="U900" s="42"/>
    </x:row>
    <x:row r="901">
      <x:c r="B901" s="40"/>
      <x:c r="M901" s="42"/>
      <x:c r="N901" s="42" t="str">
        <x:f>IF(OR(L901="",M901=""),"",L901*M901)</x:f>
      </x:c>
      <x:c r="O901" s="40"/>
      <x:c r="P901" s="40"/>
      <x:c r="Q901" s="40"/>
      <x:c r="U901" s="42"/>
    </x:row>
    <x:row r="902">
      <x:c r="B902" s="40"/>
      <x:c r="M902" s="42"/>
      <x:c r="N902" s="42" t="str">
        <x:f>IF(OR(L902="",M902=""),"",L902*M902)</x:f>
      </x:c>
      <x:c r="O902" s="40"/>
      <x:c r="P902" s="40"/>
      <x:c r="Q902" s="40"/>
      <x:c r="U902" s="42"/>
    </x:row>
    <x:row r="903">
      <x:c r="B903" s="40"/>
      <x:c r="M903" s="42"/>
      <x:c r="N903" s="42" t="str">
        <x:f>IF(OR(L903="",M903=""),"",L903*M903)</x:f>
      </x:c>
      <x:c r="O903" s="40"/>
      <x:c r="P903" s="40"/>
      <x:c r="Q903" s="40"/>
      <x:c r="U903" s="42"/>
    </x:row>
    <x:row r="904">
      <x:c r="B904" s="40"/>
      <x:c r="M904" s="42"/>
      <x:c r="N904" s="42" t="str">
        <x:f>IF(OR(L904="",M904=""),"",L904*M904)</x:f>
      </x:c>
      <x:c r="O904" s="40"/>
      <x:c r="P904" s="40"/>
      <x:c r="Q904" s="40"/>
      <x:c r="U904" s="42"/>
    </x:row>
    <x:row r="905">
      <x:c r="B905" s="40"/>
      <x:c r="M905" s="42"/>
      <x:c r="N905" s="42" t="str">
        <x:f>IF(OR(L905="",M905=""),"",L905*M905)</x:f>
      </x:c>
      <x:c r="O905" s="40"/>
      <x:c r="P905" s="40"/>
      <x:c r="Q905" s="40"/>
      <x:c r="U905" s="42"/>
    </x:row>
    <x:row r="906">
      <x:c r="B906" s="40"/>
      <x:c r="M906" s="42"/>
      <x:c r="N906" s="42" t="str">
        <x:f>IF(OR(L906="",M906=""),"",L906*M906)</x:f>
      </x:c>
      <x:c r="O906" s="40"/>
      <x:c r="P906" s="40"/>
      <x:c r="Q906" s="40"/>
      <x:c r="U906" s="42"/>
    </x:row>
    <x:row r="907">
      <x:c r="B907" s="40"/>
      <x:c r="M907" s="42"/>
      <x:c r="N907" s="42" t="str">
        <x:f>IF(OR(L907="",M907=""),"",L907*M907)</x:f>
      </x:c>
      <x:c r="O907" s="40"/>
      <x:c r="P907" s="40"/>
      <x:c r="Q907" s="40"/>
      <x:c r="U907" s="42"/>
    </x:row>
    <x:row r="908">
      <x:c r="B908" s="40"/>
      <x:c r="M908" s="42"/>
      <x:c r="N908" s="42" t="str">
        <x:f>IF(OR(L908="",M908=""),"",L908*M908)</x:f>
      </x:c>
      <x:c r="O908" s="40"/>
      <x:c r="P908" s="40"/>
      <x:c r="Q908" s="40"/>
      <x:c r="U908" s="42"/>
    </x:row>
    <x:row r="909">
      <x:c r="B909" s="40"/>
      <x:c r="M909" s="42"/>
      <x:c r="N909" s="42" t="str">
        <x:f>IF(OR(L909="",M909=""),"",L909*M909)</x:f>
      </x:c>
      <x:c r="O909" s="40"/>
      <x:c r="P909" s="40"/>
      <x:c r="Q909" s="40"/>
      <x:c r="U909" s="42"/>
    </x:row>
    <x:row r="910">
      <x:c r="B910" s="40"/>
      <x:c r="M910" s="42"/>
      <x:c r="N910" s="42" t="str">
        <x:f>IF(OR(L910="",M910=""),"",L910*M910)</x:f>
      </x:c>
      <x:c r="O910" s="40"/>
      <x:c r="P910" s="40"/>
      <x:c r="Q910" s="40"/>
      <x:c r="U910" s="42"/>
    </x:row>
    <x:row r="911">
      <x:c r="B911" s="40"/>
      <x:c r="M911" s="42"/>
      <x:c r="N911" s="42" t="str">
        <x:f>IF(OR(L911="",M911=""),"",L911*M911)</x:f>
      </x:c>
      <x:c r="O911" s="40"/>
      <x:c r="P911" s="40"/>
      <x:c r="Q911" s="40"/>
      <x:c r="U911" s="42"/>
    </x:row>
    <x:row r="912">
      <x:c r="B912" s="40"/>
      <x:c r="M912" s="42"/>
      <x:c r="N912" s="42" t="str">
        <x:f>IF(OR(L912="",M912=""),"",L912*M912)</x:f>
      </x:c>
      <x:c r="O912" s="40"/>
      <x:c r="P912" s="40"/>
      <x:c r="Q912" s="40"/>
      <x:c r="U912" s="42"/>
    </x:row>
    <x:row r="913">
      <x:c r="B913" s="40"/>
      <x:c r="M913" s="42"/>
      <x:c r="N913" s="42" t="str">
        <x:f>IF(OR(L913="",M913=""),"",L913*M913)</x:f>
      </x:c>
      <x:c r="O913" s="40"/>
      <x:c r="P913" s="40"/>
      <x:c r="Q913" s="40"/>
      <x:c r="U913" s="42"/>
    </x:row>
    <x:row r="914">
      <x:c r="B914" s="40"/>
      <x:c r="M914" s="42"/>
      <x:c r="N914" s="42" t="str">
        <x:f>IF(OR(L914="",M914=""),"",L914*M914)</x:f>
      </x:c>
      <x:c r="O914" s="40"/>
      <x:c r="P914" s="40"/>
      <x:c r="Q914" s="40"/>
      <x:c r="U914" s="42"/>
    </x:row>
    <x:row r="915">
      <x:c r="B915" s="40"/>
      <x:c r="M915" s="42"/>
      <x:c r="N915" s="42" t="str">
        <x:f>IF(OR(L915="",M915=""),"",L915*M915)</x:f>
      </x:c>
      <x:c r="O915" s="40"/>
      <x:c r="P915" s="40"/>
      <x:c r="Q915" s="40"/>
      <x:c r="U915" s="42"/>
    </x:row>
    <x:row r="916">
      <x:c r="B916" s="40"/>
      <x:c r="M916" s="42"/>
      <x:c r="N916" s="42" t="str">
        <x:f>IF(OR(L916="",M916=""),"",L916*M916)</x:f>
      </x:c>
      <x:c r="O916" s="40"/>
      <x:c r="P916" s="40"/>
      <x:c r="Q916" s="40"/>
      <x:c r="U916" s="42"/>
    </x:row>
    <x:row r="917">
      <x:c r="B917" s="40"/>
      <x:c r="M917" s="42"/>
      <x:c r="N917" s="42" t="str">
        <x:f>IF(OR(L917="",M917=""),"",L917*M917)</x:f>
      </x:c>
      <x:c r="O917" s="40"/>
      <x:c r="P917" s="40"/>
      <x:c r="Q917" s="40"/>
      <x:c r="U917" s="42"/>
    </x:row>
    <x:row r="918">
      <x:c r="B918" s="40"/>
      <x:c r="M918" s="42"/>
      <x:c r="N918" s="42" t="str">
        <x:f>IF(OR(L918="",M918=""),"",L918*M918)</x:f>
      </x:c>
      <x:c r="O918" s="40"/>
      <x:c r="P918" s="40"/>
      <x:c r="Q918" s="40"/>
      <x:c r="U918" s="42"/>
    </x:row>
    <x:row r="919">
      <x:c r="B919" s="40"/>
      <x:c r="M919" s="42"/>
      <x:c r="N919" s="42" t="str">
        <x:f>IF(OR(L919="",M919=""),"",L919*M919)</x:f>
      </x:c>
      <x:c r="O919" s="40"/>
      <x:c r="P919" s="40"/>
      <x:c r="Q919" s="40"/>
      <x:c r="U919" s="42"/>
    </x:row>
    <x:row r="920">
      <x:c r="B920" s="40"/>
      <x:c r="M920" s="42"/>
      <x:c r="N920" s="42" t="str">
        <x:f>IF(OR(L920="",M920=""),"",L920*M920)</x:f>
      </x:c>
      <x:c r="O920" s="40"/>
      <x:c r="P920" s="40"/>
      <x:c r="Q920" s="40"/>
      <x:c r="U920" s="42"/>
    </x:row>
    <x:row r="921">
      <x:c r="B921" s="40"/>
      <x:c r="M921" s="42"/>
      <x:c r="N921" s="42" t="str">
        <x:f>IF(OR(L921="",M921=""),"",L921*M921)</x:f>
      </x:c>
      <x:c r="O921" s="40"/>
      <x:c r="P921" s="40"/>
      <x:c r="Q921" s="40"/>
      <x:c r="U921" s="42"/>
    </x:row>
    <x:row r="922">
      <x:c r="B922" s="40"/>
      <x:c r="M922" s="42"/>
      <x:c r="N922" s="42" t="str">
        <x:f>IF(OR(L922="",M922=""),"",L922*M922)</x:f>
      </x:c>
      <x:c r="O922" s="40"/>
      <x:c r="P922" s="40"/>
      <x:c r="Q922" s="40"/>
      <x:c r="U922" s="42"/>
    </x:row>
    <x:row r="923">
      <x:c r="B923" s="40"/>
      <x:c r="M923" s="42"/>
      <x:c r="N923" s="42" t="str">
        <x:f>IF(OR(L923="",M923=""),"",L923*M923)</x:f>
      </x:c>
      <x:c r="O923" s="40"/>
      <x:c r="P923" s="40"/>
      <x:c r="Q923" s="40"/>
      <x:c r="U923" s="42"/>
    </x:row>
    <x:row r="924">
      <x:c r="B924" s="40"/>
      <x:c r="M924" s="42"/>
      <x:c r="N924" s="42" t="str">
        <x:f>IF(OR(L924="",M924=""),"",L924*M924)</x:f>
      </x:c>
      <x:c r="O924" s="40"/>
      <x:c r="P924" s="40"/>
      <x:c r="Q924" s="40"/>
      <x:c r="U924" s="42"/>
    </x:row>
    <x:row r="925">
      <x:c r="B925" s="40"/>
      <x:c r="M925" s="42"/>
      <x:c r="N925" s="42" t="str">
        <x:f>IF(OR(L925="",M925=""),"",L925*M925)</x:f>
      </x:c>
      <x:c r="O925" s="40"/>
      <x:c r="P925" s="40"/>
      <x:c r="Q925" s="40"/>
      <x:c r="U925" s="42"/>
    </x:row>
    <x:row r="926">
      <x:c r="B926" s="40"/>
      <x:c r="M926" s="42"/>
      <x:c r="N926" s="42" t="str">
        <x:f>IF(OR(L926="",M926=""),"",L926*M926)</x:f>
      </x:c>
      <x:c r="O926" s="40"/>
      <x:c r="P926" s="40"/>
      <x:c r="Q926" s="40"/>
      <x:c r="U926" s="42"/>
    </x:row>
    <x:row r="927">
      <x:c r="B927" s="40"/>
      <x:c r="M927" s="42"/>
      <x:c r="N927" s="42" t="str">
        <x:f>IF(OR(L927="",M927=""),"",L927*M927)</x:f>
      </x:c>
      <x:c r="O927" s="40"/>
      <x:c r="P927" s="40"/>
      <x:c r="Q927" s="40"/>
      <x:c r="U927" s="42"/>
    </x:row>
    <x:row r="928">
      <x:c r="B928" s="40"/>
      <x:c r="M928" s="42"/>
      <x:c r="N928" s="42" t="str">
        <x:f>IF(OR(L928="",M928=""),"",L928*M928)</x:f>
      </x:c>
      <x:c r="O928" s="40"/>
      <x:c r="P928" s="40"/>
      <x:c r="Q928" s="40"/>
      <x:c r="U928" s="42"/>
    </x:row>
    <x:row r="929">
      <x:c r="B929" s="40"/>
      <x:c r="M929" s="42"/>
      <x:c r="N929" s="42" t="str">
        <x:f>IF(OR(L929="",M929=""),"",L929*M929)</x:f>
      </x:c>
      <x:c r="O929" s="40"/>
      <x:c r="P929" s="40"/>
      <x:c r="Q929" s="40"/>
      <x:c r="U929" s="42"/>
    </x:row>
    <x:row r="930">
      <x:c r="B930" s="40"/>
      <x:c r="M930" s="42"/>
      <x:c r="N930" s="42" t="str">
        <x:f>IF(OR(L930="",M930=""),"",L930*M930)</x:f>
      </x:c>
      <x:c r="O930" s="40"/>
      <x:c r="P930" s="40"/>
      <x:c r="Q930" s="40"/>
      <x:c r="U930" s="42"/>
    </x:row>
    <x:row r="931">
      <x:c r="B931" s="40"/>
      <x:c r="M931" s="42"/>
      <x:c r="N931" s="42" t="str">
        <x:f>IF(OR(L931="",M931=""),"",L931*M931)</x:f>
      </x:c>
      <x:c r="O931" s="40"/>
      <x:c r="P931" s="40"/>
      <x:c r="Q931" s="40"/>
      <x:c r="U931" s="42"/>
    </x:row>
    <x:row r="932">
      <x:c r="B932" s="40"/>
      <x:c r="M932" s="42"/>
      <x:c r="N932" s="42" t="str">
        <x:f>IF(OR(L932="",M932=""),"",L932*M932)</x:f>
      </x:c>
      <x:c r="O932" s="40"/>
      <x:c r="P932" s="40"/>
      <x:c r="Q932" s="40"/>
      <x:c r="U932" s="42"/>
    </x:row>
    <x:row r="933">
      <x:c r="B933" s="40"/>
      <x:c r="M933" s="42"/>
      <x:c r="N933" s="42" t="str">
        <x:f>IF(OR(L933="",M933=""),"",L933*M933)</x:f>
      </x:c>
      <x:c r="O933" s="40"/>
      <x:c r="P933" s="40"/>
      <x:c r="Q933" s="40"/>
      <x:c r="U933" s="42"/>
    </x:row>
    <x:row r="934">
      <x:c r="B934" s="40"/>
      <x:c r="M934" s="42"/>
      <x:c r="N934" s="42" t="str">
        <x:f>IF(OR(L934="",M934=""),"",L934*M934)</x:f>
      </x:c>
      <x:c r="O934" s="40"/>
      <x:c r="P934" s="40"/>
      <x:c r="Q934" s="40"/>
      <x:c r="U934" s="42"/>
    </x:row>
    <x:row r="935">
      <x:c r="B935" s="40"/>
      <x:c r="M935" s="42"/>
      <x:c r="N935" s="42" t="str">
        <x:f>IF(OR(L935="",M935=""),"",L935*M935)</x:f>
      </x:c>
      <x:c r="O935" s="40"/>
      <x:c r="P935" s="40"/>
      <x:c r="Q935" s="40"/>
      <x:c r="U935" s="42"/>
    </x:row>
    <x:row r="936">
      <x:c r="B936" s="40"/>
      <x:c r="M936" s="42"/>
      <x:c r="N936" s="42" t="str">
        <x:f>IF(OR(L936="",M936=""),"",L936*M936)</x:f>
      </x:c>
      <x:c r="O936" s="40"/>
      <x:c r="P936" s="40"/>
      <x:c r="Q936" s="40"/>
      <x:c r="U936" s="42"/>
    </x:row>
    <x:row r="937">
      <x:c r="B937" s="40"/>
      <x:c r="M937" s="42"/>
      <x:c r="N937" s="42" t="str">
        <x:f>IF(OR(L937="",M937=""),"",L937*M937)</x:f>
      </x:c>
      <x:c r="O937" s="40"/>
      <x:c r="P937" s="40"/>
      <x:c r="Q937" s="40"/>
      <x:c r="U937" s="42"/>
    </x:row>
    <x:row r="938">
      <x:c r="B938" s="40"/>
      <x:c r="M938" s="42"/>
      <x:c r="N938" s="42" t="str">
        <x:f>IF(OR(L938="",M938=""),"",L938*M938)</x:f>
      </x:c>
      <x:c r="O938" s="40"/>
      <x:c r="P938" s="40"/>
      <x:c r="Q938" s="40"/>
      <x:c r="U938" s="42"/>
    </x:row>
    <x:row r="939">
      <x:c r="B939" s="40"/>
      <x:c r="M939" s="42"/>
      <x:c r="N939" s="42" t="str">
        <x:f>IF(OR(L939="",M939=""),"",L939*M939)</x:f>
      </x:c>
      <x:c r="O939" s="40"/>
      <x:c r="P939" s="40"/>
      <x:c r="Q939" s="40"/>
      <x:c r="U939" s="42"/>
    </x:row>
    <x:row r="940">
      <x:c r="B940" s="40"/>
      <x:c r="M940" s="42"/>
      <x:c r="N940" s="42" t="str">
        <x:f>IF(OR(L940="",M940=""),"",L940*M940)</x:f>
      </x:c>
      <x:c r="O940" s="40"/>
      <x:c r="P940" s="40"/>
      <x:c r="Q940" s="40"/>
      <x:c r="U940" s="42"/>
    </x:row>
    <x:row r="941">
      <x:c r="B941" s="40"/>
      <x:c r="M941" s="42"/>
      <x:c r="N941" s="42" t="str">
        <x:f>IF(OR(L941="",M941=""),"",L941*M941)</x:f>
      </x:c>
      <x:c r="O941" s="40"/>
      <x:c r="P941" s="40"/>
      <x:c r="Q941" s="40"/>
      <x:c r="U941" s="42"/>
    </x:row>
    <x:row r="942">
      <x:c r="B942" s="40"/>
      <x:c r="M942" s="42"/>
      <x:c r="N942" s="42" t="str">
        <x:f>IF(OR(L942="",M942=""),"",L942*M942)</x:f>
      </x:c>
      <x:c r="O942" s="40"/>
      <x:c r="P942" s="40"/>
      <x:c r="Q942" s="40"/>
      <x:c r="U942" s="42"/>
    </x:row>
    <x:row r="943">
      <x:c r="B943" s="40"/>
      <x:c r="M943" s="42"/>
      <x:c r="N943" s="42" t="str">
        <x:f>IF(OR(L943="",M943=""),"",L943*M943)</x:f>
      </x:c>
      <x:c r="O943" s="40"/>
      <x:c r="P943" s="40"/>
      <x:c r="Q943" s="40"/>
      <x:c r="U943" s="42"/>
    </x:row>
    <x:row r="944">
      <x:c r="B944" s="40"/>
      <x:c r="M944" s="42"/>
      <x:c r="N944" s="42" t="str">
        <x:f>IF(OR(L944="",M944=""),"",L944*M944)</x:f>
      </x:c>
      <x:c r="O944" s="40"/>
      <x:c r="P944" s="40"/>
      <x:c r="Q944" s="40"/>
      <x:c r="U944" s="42"/>
    </x:row>
    <x:row r="945">
      <x:c r="B945" s="40"/>
      <x:c r="M945" s="42"/>
      <x:c r="N945" s="42" t="str">
        <x:f>IF(OR(L945="",M945=""),"",L945*M945)</x:f>
      </x:c>
      <x:c r="O945" s="40"/>
      <x:c r="P945" s="40"/>
      <x:c r="Q945" s="40"/>
      <x:c r="U945" s="42"/>
    </x:row>
    <x:row r="946">
      <x:c r="B946" s="40"/>
      <x:c r="M946" s="42"/>
      <x:c r="N946" s="42" t="str">
        <x:f>IF(OR(L946="",M946=""),"",L946*M946)</x:f>
      </x:c>
      <x:c r="O946" s="40"/>
      <x:c r="P946" s="40"/>
      <x:c r="Q946" s="40"/>
      <x:c r="U946" s="42"/>
    </x:row>
    <x:row r="947">
      <x:c r="B947" s="40"/>
      <x:c r="M947" s="42"/>
      <x:c r="N947" s="42" t="str">
        <x:f>IF(OR(L947="",M947=""),"",L947*M947)</x:f>
      </x:c>
      <x:c r="O947" s="40"/>
      <x:c r="P947" s="40"/>
      <x:c r="Q947" s="40"/>
      <x:c r="U947" s="42"/>
    </x:row>
    <x:row r="948">
      <x:c r="B948" s="40"/>
      <x:c r="M948" s="42"/>
      <x:c r="N948" s="42" t="str">
        <x:f>IF(OR(L948="",M948=""),"",L948*M948)</x:f>
      </x:c>
      <x:c r="O948" s="40"/>
      <x:c r="P948" s="40"/>
      <x:c r="Q948" s="40"/>
      <x:c r="U948" s="42"/>
    </x:row>
    <x:row r="949">
      <x:c r="B949" s="40"/>
      <x:c r="M949" s="42"/>
      <x:c r="N949" s="42" t="str">
        <x:f>IF(OR(L949="",M949=""),"",L949*M949)</x:f>
      </x:c>
      <x:c r="O949" s="40"/>
      <x:c r="P949" s="40"/>
      <x:c r="Q949" s="40"/>
      <x:c r="U949" s="42"/>
    </x:row>
    <x:row r="950">
      <x:c r="B950" s="40"/>
      <x:c r="M950" s="42"/>
      <x:c r="N950" s="42" t="str">
        <x:f>IF(OR(L950="",M950=""),"",L950*M950)</x:f>
      </x:c>
      <x:c r="O950" s="40"/>
      <x:c r="P950" s="40"/>
      <x:c r="Q950" s="40"/>
      <x:c r="U950" s="42"/>
    </x:row>
    <x:row r="951">
      <x:c r="B951" s="40"/>
      <x:c r="M951" s="42"/>
      <x:c r="N951" s="42" t="str">
        <x:f>IF(OR(L951="",M951=""),"",L951*M951)</x:f>
      </x:c>
      <x:c r="O951" s="40"/>
      <x:c r="P951" s="40"/>
      <x:c r="Q951" s="40"/>
      <x:c r="U951" s="42"/>
    </x:row>
    <x:row r="952">
      <x:c r="B952" s="40"/>
      <x:c r="M952" s="42"/>
      <x:c r="N952" s="42" t="str">
        <x:f>IF(OR(L952="",M952=""),"",L952*M952)</x:f>
      </x:c>
      <x:c r="O952" s="40"/>
      <x:c r="P952" s="40"/>
      <x:c r="Q952" s="40"/>
      <x:c r="U952" s="42"/>
    </x:row>
    <x:row r="953">
      <x:c r="B953" s="40"/>
      <x:c r="M953" s="42"/>
      <x:c r="N953" s="42" t="str">
        <x:f>IF(OR(L953="",M953=""),"",L953*M953)</x:f>
      </x:c>
      <x:c r="O953" s="40"/>
      <x:c r="P953" s="40"/>
      <x:c r="Q953" s="40"/>
      <x:c r="U953" s="42"/>
    </x:row>
    <x:row r="954">
      <x:c r="B954" s="40"/>
      <x:c r="M954" s="42"/>
      <x:c r="N954" s="42" t="str">
        <x:f>IF(OR(L954="",M954=""),"",L954*M954)</x:f>
      </x:c>
      <x:c r="O954" s="40"/>
      <x:c r="P954" s="40"/>
      <x:c r="Q954" s="40"/>
      <x:c r="U954" s="42"/>
    </x:row>
    <x:row r="955">
      <x:c r="B955" s="40"/>
      <x:c r="M955" s="42"/>
      <x:c r="N955" s="42" t="str">
        <x:f>IF(OR(L955="",M955=""),"",L955*M955)</x:f>
      </x:c>
      <x:c r="O955" s="40"/>
      <x:c r="P955" s="40"/>
      <x:c r="Q955" s="40"/>
      <x:c r="U955" s="42"/>
    </x:row>
    <x:row r="956">
      <x:c r="B956" s="40"/>
      <x:c r="M956" s="42"/>
      <x:c r="N956" s="42" t="str">
        <x:f>IF(OR(L956="",M956=""),"",L956*M956)</x:f>
      </x:c>
      <x:c r="O956" s="40"/>
      <x:c r="P956" s="40"/>
      <x:c r="Q956" s="40"/>
      <x:c r="U956" s="42"/>
    </x:row>
    <x:row r="957">
      <x:c r="B957" s="40"/>
      <x:c r="M957" s="42"/>
      <x:c r="N957" s="42" t="str">
        <x:f>IF(OR(L957="",M957=""),"",L957*M957)</x:f>
      </x:c>
      <x:c r="O957" s="40"/>
      <x:c r="P957" s="40"/>
      <x:c r="Q957" s="40"/>
      <x:c r="U957" s="42"/>
    </x:row>
    <x:row r="958">
      <x:c r="B958" s="40"/>
      <x:c r="M958" s="42"/>
      <x:c r="N958" s="42" t="str">
        <x:f>IF(OR(L958="",M958=""),"",L958*M958)</x:f>
      </x:c>
      <x:c r="O958" s="40"/>
      <x:c r="P958" s="40"/>
      <x:c r="Q958" s="40"/>
      <x:c r="U958" s="42"/>
    </x:row>
    <x:row r="959">
      <x:c r="B959" s="40"/>
      <x:c r="M959" s="42"/>
      <x:c r="N959" s="42" t="str">
        <x:f>IF(OR(L959="",M959=""),"",L959*M959)</x:f>
      </x:c>
      <x:c r="O959" s="40"/>
      <x:c r="P959" s="40"/>
      <x:c r="Q959" s="40"/>
      <x:c r="U959" s="42"/>
    </x:row>
    <x:row r="960">
      <x:c r="B960" s="40"/>
      <x:c r="M960" s="42"/>
      <x:c r="N960" s="42" t="str">
        <x:f>IF(OR(L960="",M960=""),"",L960*M960)</x:f>
      </x:c>
      <x:c r="O960" s="40"/>
      <x:c r="P960" s="40"/>
      <x:c r="Q960" s="40"/>
      <x:c r="U960" s="42"/>
    </x:row>
    <x:row r="961">
      <x:c r="B961" s="40"/>
      <x:c r="M961" s="42"/>
      <x:c r="N961" s="42" t="str">
        <x:f>IF(OR(L961="",M961=""),"",L961*M961)</x:f>
      </x:c>
      <x:c r="O961" s="40"/>
      <x:c r="P961" s="40"/>
      <x:c r="Q961" s="40"/>
      <x:c r="U961" s="42"/>
    </x:row>
    <x:row r="962">
      <x:c r="B962" s="40"/>
      <x:c r="M962" s="42"/>
      <x:c r="N962" s="42" t="str">
        <x:f>IF(OR(L962="",M962=""),"",L962*M962)</x:f>
      </x:c>
      <x:c r="O962" s="40"/>
      <x:c r="P962" s="40"/>
      <x:c r="Q962" s="40"/>
      <x:c r="U962" s="42"/>
    </x:row>
    <x:row r="963">
      <x:c r="B963" s="40"/>
      <x:c r="M963" s="42"/>
      <x:c r="N963" s="42" t="str">
        <x:f>IF(OR(L963="",M963=""),"",L963*M963)</x:f>
      </x:c>
      <x:c r="O963" s="40"/>
      <x:c r="P963" s="40"/>
      <x:c r="Q963" s="40"/>
      <x:c r="U963" s="42"/>
    </x:row>
    <x:row r="964">
      <x:c r="B964" s="40"/>
      <x:c r="M964" s="42"/>
      <x:c r="N964" s="42" t="str">
        <x:f>IF(OR(L964="",M964=""),"",L964*M964)</x:f>
      </x:c>
      <x:c r="O964" s="40"/>
      <x:c r="P964" s="40"/>
      <x:c r="Q964" s="40"/>
      <x:c r="U964" s="42"/>
    </x:row>
    <x:row r="965">
      <x:c r="B965" s="40"/>
      <x:c r="M965" s="42"/>
      <x:c r="N965" s="42" t="str">
        <x:f>IF(OR(L965="",M965=""),"",L965*M965)</x:f>
      </x:c>
      <x:c r="O965" s="40"/>
      <x:c r="P965" s="40"/>
      <x:c r="Q965" s="40"/>
      <x:c r="U965" s="42"/>
    </x:row>
    <x:row r="966">
      <x:c r="B966" s="40"/>
      <x:c r="M966" s="42"/>
      <x:c r="N966" s="42" t="str">
        <x:f>IF(OR(L966="",M966=""),"",L966*M966)</x:f>
      </x:c>
      <x:c r="O966" s="40"/>
      <x:c r="P966" s="40"/>
      <x:c r="Q966" s="40"/>
      <x:c r="U966" s="42"/>
    </x:row>
    <x:row r="967">
      <x:c r="B967" s="40"/>
      <x:c r="M967" s="42"/>
      <x:c r="N967" s="42" t="str">
        <x:f>IF(OR(L967="",M967=""),"",L967*M967)</x:f>
      </x:c>
      <x:c r="O967" s="40"/>
      <x:c r="P967" s="40"/>
      <x:c r="Q967" s="40"/>
      <x:c r="U967" s="42"/>
    </x:row>
    <x:row r="968">
      <x:c r="B968" s="40"/>
      <x:c r="M968" s="42"/>
      <x:c r="N968" s="42" t="str">
        <x:f>IF(OR(L968="",M968=""),"",L968*M968)</x:f>
      </x:c>
      <x:c r="O968" s="40"/>
      <x:c r="P968" s="40"/>
      <x:c r="Q968" s="40"/>
      <x:c r="U968" s="42"/>
    </x:row>
    <x:row r="969">
      <x:c r="B969" s="40"/>
      <x:c r="M969" s="42"/>
      <x:c r="N969" s="42" t="str">
        <x:f>IF(OR(L969="",M969=""),"",L969*M969)</x:f>
      </x:c>
      <x:c r="O969" s="40"/>
      <x:c r="P969" s="40"/>
      <x:c r="Q969" s="40"/>
      <x:c r="U969" s="42"/>
    </x:row>
    <x:row r="970">
      <x:c r="B970" s="40"/>
      <x:c r="M970" s="42"/>
      <x:c r="N970" s="42" t="str">
        <x:f>IF(OR(L970="",M970=""),"",L970*M970)</x:f>
      </x:c>
      <x:c r="O970" s="40"/>
      <x:c r="P970" s="40"/>
      <x:c r="Q970" s="40"/>
      <x:c r="U970" s="42"/>
    </x:row>
    <x:row r="971">
      <x:c r="B971" s="40"/>
      <x:c r="M971" s="42"/>
      <x:c r="N971" s="42" t="str">
        <x:f>IF(OR(L971="",M971=""),"",L971*M971)</x:f>
      </x:c>
      <x:c r="O971" s="40"/>
      <x:c r="P971" s="40"/>
      <x:c r="Q971" s="40"/>
      <x:c r="U971" s="42"/>
    </x:row>
    <x:row r="972">
      <x:c r="B972" s="40"/>
      <x:c r="M972" s="42"/>
      <x:c r="N972" s="42" t="str">
        <x:f>IF(OR(L972="",M972=""),"",L972*M972)</x:f>
      </x:c>
      <x:c r="O972" s="40"/>
      <x:c r="P972" s="40"/>
      <x:c r="Q972" s="40"/>
      <x:c r="U972" s="42"/>
    </x:row>
    <x:row r="973">
      <x:c r="B973" s="40"/>
      <x:c r="M973" s="42"/>
      <x:c r="N973" s="42" t="str">
        <x:f>IF(OR(L973="",M973=""),"",L973*M973)</x:f>
      </x:c>
      <x:c r="O973" s="40"/>
      <x:c r="P973" s="40"/>
      <x:c r="Q973" s="40"/>
      <x:c r="U973" s="42"/>
    </x:row>
    <x:row r="974">
      <x:c r="B974" s="40"/>
      <x:c r="M974" s="42"/>
      <x:c r="N974" s="42" t="str">
        <x:f>IF(OR(L974="",M974=""),"",L974*M974)</x:f>
      </x:c>
      <x:c r="O974" s="40"/>
      <x:c r="P974" s="40"/>
      <x:c r="Q974" s="40"/>
      <x:c r="U974" s="42"/>
    </x:row>
    <x:row r="975">
      <x:c r="B975" s="40"/>
      <x:c r="M975" s="42"/>
      <x:c r="N975" s="42" t="str">
        <x:f>IF(OR(L975="",M975=""),"",L975*M975)</x:f>
      </x:c>
      <x:c r="O975" s="40"/>
      <x:c r="P975" s="40"/>
      <x:c r="Q975" s="40"/>
      <x:c r="U975" s="42"/>
    </x:row>
    <x:row r="976">
      <x:c r="B976" s="40"/>
      <x:c r="M976" s="42"/>
      <x:c r="N976" s="42" t="str">
        <x:f>IF(OR(L976="",M976=""),"",L976*M976)</x:f>
      </x:c>
      <x:c r="O976" s="40"/>
      <x:c r="P976" s="40"/>
      <x:c r="Q976" s="40"/>
      <x:c r="U976" s="42"/>
    </x:row>
    <x:row r="977">
      <x:c r="B977" s="40"/>
      <x:c r="M977" s="42"/>
      <x:c r="N977" s="42" t="str">
        <x:f>IF(OR(L977="",M977=""),"",L977*M977)</x:f>
      </x:c>
      <x:c r="O977" s="40"/>
      <x:c r="P977" s="40"/>
      <x:c r="Q977" s="40"/>
      <x:c r="U977" s="42"/>
    </x:row>
    <x:row r="978">
      <x:c r="B978" s="40"/>
      <x:c r="M978" s="42"/>
      <x:c r="N978" s="42" t="str">
        <x:f>IF(OR(L978="",M978=""),"",L978*M978)</x:f>
      </x:c>
      <x:c r="O978" s="40"/>
      <x:c r="P978" s="40"/>
      <x:c r="Q978" s="40"/>
      <x:c r="U978" s="42"/>
    </x:row>
    <x:row r="979">
      <x:c r="B979" s="40"/>
      <x:c r="M979" s="42"/>
      <x:c r="N979" s="42" t="str">
        <x:f>IF(OR(L979="",M979=""),"",L979*M979)</x:f>
      </x:c>
      <x:c r="O979" s="40"/>
      <x:c r="P979" s="40"/>
      <x:c r="Q979" s="40"/>
      <x:c r="U979" s="42"/>
    </x:row>
    <x:row r="980">
      <x:c r="B980" s="40"/>
      <x:c r="M980" s="42"/>
      <x:c r="N980" s="42" t="str">
        <x:f>IF(OR(L980="",M980=""),"",L980*M980)</x:f>
      </x:c>
      <x:c r="O980" s="40"/>
      <x:c r="P980" s="40"/>
      <x:c r="Q980" s="40"/>
      <x:c r="U980" s="42"/>
    </x:row>
    <x:row r="981">
      <x:c r="B981" s="40"/>
      <x:c r="M981" s="42"/>
      <x:c r="N981" s="42" t="str">
        <x:f>IF(OR(L981="",M981=""),"",L981*M981)</x:f>
      </x:c>
      <x:c r="O981" s="40"/>
      <x:c r="P981" s="40"/>
      <x:c r="Q981" s="40"/>
      <x:c r="U981" s="42"/>
    </x:row>
    <x:row r="982">
      <x:c r="B982" s="40"/>
      <x:c r="M982" s="42"/>
      <x:c r="N982" s="42" t="str">
        <x:f>IF(OR(L982="",M982=""),"",L982*M982)</x:f>
      </x:c>
      <x:c r="O982" s="40"/>
      <x:c r="P982" s="40"/>
      <x:c r="Q982" s="40"/>
      <x:c r="U982" s="42"/>
    </x:row>
    <x:row r="983">
      <x:c r="B983" s="40"/>
      <x:c r="M983" s="42"/>
      <x:c r="N983" s="42" t="str">
        <x:f>IF(OR(L983="",M983=""),"",L983*M983)</x:f>
      </x:c>
      <x:c r="O983" s="40"/>
      <x:c r="P983" s="40"/>
      <x:c r="Q983" s="40"/>
      <x:c r="U983" s="42"/>
    </x:row>
    <x:row r="984">
      <x:c r="B984" s="40"/>
      <x:c r="M984" s="42"/>
      <x:c r="N984" s="42" t="str">
        <x:f>IF(OR(L984="",M984=""),"",L984*M984)</x:f>
      </x:c>
      <x:c r="O984" s="40"/>
      <x:c r="P984" s="40"/>
      <x:c r="Q984" s="40"/>
      <x:c r="U984" s="42"/>
    </x:row>
    <x:row r="985">
      <x:c r="B985" s="40"/>
      <x:c r="M985" s="42"/>
      <x:c r="N985" s="42" t="str">
        <x:f>IF(OR(L985="",M985=""),"",L985*M985)</x:f>
      </x:c>
      <x:c r="O985" s="40"/>
      <x:c r="P985" s="40"/>
      <x:c r="Q985" s="40"/>
      <x:c r="U985" s="42"/>
    </x:row>
    <x:row r="986">
      <x:c r="B986" s="40"/>
      <x:c r="M986" s="42"/>
      <x:c r="N986" s="42" t="str">
        <x:f>IF(OR(L986="",M986=""),"",L986*M986)</x:f>
      </x:c>
      <x:c r="O986" s="40"/>
      <x:c r="P986" s="40"/>
      <x:c r="Q986" s="40"/>
      <x:c r="U986" s="42"/>
    </x:row>
    <x:row r="987">
      <x:c r="B987" s="40"/>
      <x:c r="M987" s="42"/>
      <x:c r="N987" s="42" t="str">
        <x:f>IF(OR(L987="",M987=""),"",L987*M987)</x:f>
      </x:c>
      <x:c r="O987" s="40"/>
      <x:c r="P987" s="40"/>
      <x:c r="Q987" s="40"/>
      <x:c r="U987" s="42"/>
    </x:row>
    <x:row r="988">
      <x:c r="B988" s="40"/>
      <x:c r="M988" s="42"/>
      <x:c r="N988" s="42" t="str">
        <x:f>IF(OR(L988="",M988=""),"",L988*M988)</x:f>
      </x:c>
      <x:c r="O988" s="40"/>
      <x:c r="P988" s="40"/>
      <x:c r="Q988" s="40"/>
      <x:c r="U988" s="42"/>
    </x:row>
    <x:row r="989">
      <x:c r="B989" s="40"/>
      <x:c r="M989" s="42"/>
      <x:c r="N989" s="42" t="str">
        <x:f>IF(OR(L989="",M989=""),"",L989*M989)</x:f>
      </x:c>
      <x:c r="O989" s="40"/>
      <x:c r="P989" s="40"/>
      <x:c r="Q989" s="40"/>
      <x:c r="U989" s="42"/>
    </x:row>
    <x:row r="990">
      <x:c r="B990" s="40"/>
      <x:c r="M990" s="42"/>
      <x:c r="N990" s="42" t="str">
        <x:f>IF(OR(L990="",M990=""),"",L990*M990)</x:f>
      </x:c>
      <x:c r="O990" s="40"/>
      <x:c r="P990" s="40"/>
      <x:c r="Q990" s="40"/>
      <x:c r="U990" s="42"/>
    </x:row>
    <x:row r="991">
      <x:c r="B991" s="40"/>
      <x:c r="M991" s="42"/>
      <x:c r="N991" s="42" t="str">
        <x:f>IF(OR(L991="",M991=""),"",L991*M991)</x:f>
      </x:c>
      <x:c r="O991" s="40"/>
      <x:c r="P991" s="40"/>
      <x:c r="Q991" s="40"/>
      <x:c r="U991" s="42"/>
    </x:row>
    <x:row r="992">
      <x:c r="B992" s="40"/>
      <x:c r="M992" s="42"/>
      <x:c r="N992" s="42" t="str">
        <x:f>IF(OR(L992="",M992=""),"",L992*M992)</x:f>
      </x:c>
      <x:c r="O992" s="40"/>
      <x:c r="P992" s="40"/>
      <x:c r="Q992" s="40"/>
      <x:c r="U992" s="42"/>
    </x:row>
    <x:row r="993">
      <x:c r="B993" s="40"/>
      <x:c r="M993" s="42"/>
      <x:c r="N993" s="42" t="str">
        <x:f>IF(OR(L993="",M993=""),"",L993*M993)</x:f>
      </x:c>
      <x:c r="O993" s="40"/>
      <x:c r="P993" s="40"/>
      <x:c r="Q993" s="40"/>
      <x:c r="U993" s="42"/>
    </x:row>
    <x:row r="994">
      <x:c r="B994" s="40"/>
      <x:c r="M994" s="42"/>
      <x:c r="N994" s="42" t="str">
        <x:f>IF(OR(L994="",M994=""),"",L994*M994)</x:f>
      </x:c>
      <x:c r="O994" s="40"/>
      <x:c r="P994" s="40"/>
      <x:c r="Q994" s="40"/>
      <x:c r="U994" s="42"/>
    </x:row>
    <x:row r="995">
      <x:c r="B995" s="40"/>
      <x:c r="M995" s="42"/>
      <x:c r="N995" s="42" t="str">
        <x:f>IF(OR(L995="",M995=""),"",L995*M995)</x:f>
      </x:c>
      <x:c r="O995" s="40"/>
      <x:c r="P995" s="40"/>
      <x:c r="Q995" s="40"/>
      <x:c r="U995" s="42"/>
    </x:row>
    <x:row r="996">
      <x:c r="B996" s="40"/>
      <x:c r="M996" s="42"/>
      <x:c r="N996" s="42" t="str">
        <x:f>IF(OR(L996="",M996=""),"",L996*M996)</x:f>
      </x:c>
      <x:c r="O996" s="40"/>
      <x:c r="P996" s="40"/>
      <x:c r="Q996" s="40"/>
      <x:c r="U996" s="42"/>
    </x:row>
    <x:row r="997">
      <x:c r="B997" s="40"/>
      <x:c r="M997" s="42"/>
      <x:c r="N997" s="42" t="str">
        <x:f>IF(OR(L997="",M997=""),"",L997*M997)</x:f>
      </x:c>
      <x:c r="O997" s="40"/>
      <x:c r="P997" s="40"/>
      <x:c r="Q997" s="40"/>
      <x:c r="U997" s="42"/>
    </x:row>
    <x:row r="998">
      <x:c r="B998" s="40"/>
      <x:c r="M998" s="42"/>
      <x:c r="N998" s="42" t="str">
        <x:f>IF(OR(L998="",M998=""),"",L998*M998)</x:f>
      </x:c>
      <x:c r="O998" s="40"/>
      <x:c r="P998" s="40"/>
      <x:c r="Q998" s="40"/>
      <x:c r="U998" s="42"/>
    </x:row>
    <x:row r="999">
      <x:c r="B999" s="40"/>
      <x:c r="M999" s="42"/>
      <x:c r="N999" s="42" t="str">
        <x:f>IF(OR(L999="",M999=""),"",L999*M999)</x:f>
      </x:c>
      <x:c r="O999" s="40"/>
      <x:c r="P999" s="40"/>
      <x:c r="Q999" s="40"/>
      <x:c r="U999" s="42"/>
    </x:row>
    <x:row r="1000">
      <x:c r="B1000" s="40"/>
      <x:c r="M1000" s="42"/>
      <x:c r="N1000" s="42" t="str">
        <x:f>IF(OR(L1000="",M1000=""),"",L1000*M1000)</x:f>
      </x:c>
      <x:c r="O1000" s="40"/>
      <x:c r="P1000" s="40"/>
      <x:c r="Q1000" s="40"/>
      <x:c r="U1000" s="42"/>
    </x:row>
  </x:sheetData>
  <x:mergeCells>
    <x:mergeCell ref="A1:U1"/>
  </x:mergeCells>
  <x:dataValidations count="2">
    <x:dataValidation type="list" sqref="R4:R1000">
      <x:formula1>"Open,Partially Received,Received,Past Due,Canceled"</x:formula1>
    </x:dataValidation>
    <x:dataValidation type="list" sqref="S4:S1000">
      <x:formula1>"Inventory Replenishment,Customer Order,Manufacturing Order,Service Work Order,Construction Project,Vehicle Repair/Restoration,Facility Expense,Capital Investment"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6" hidden="0" customWidth="1"/>
    <x:col min="5" max="5" width="18" hidden="0" customWidth="1"/>
    <x:col min="6" max="6" width="40" hidden="0" customWidth="1"/>
    <x:col min="7" max="7" width="22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12" hidden="0" customWidth="1"/>
    <x:col min="13" max="13" width="18" hidden="0" customWidth="1"/>
    <x:col min="14" max="14" width="16" hidden="0" customWidth="1"/>
    <x:col min="15" max="15" width="14" hidden="0" customWidth="1"/>
    <x:col min="16" max="16" width="14" hidden="0" customWidth="1"/>
    <x:col min="17" max="17" width="26" hidden="0" customWidth="1"/>
  </x:cols>
  <x:sheetData>
    <x:row r="1">
      <x:c r="A1" s="5" t="str">
        <x:v>Current Inventory Snapshot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3">
      <x:c r="A3" s="34" t="str">
        <x:v>Snapshot Date</x:v>
      </x:c>
      <x:c r="B3" s="34" t="str">
        <x:v>Company Code</x:v>
      </x:c>
      <x:c r="C3" s="34" t="str">
        <x:v>Location</x:v>
      </x:c>
      <x:c r="D3" s="34" t="str">
        <x:v>Item ID</x:v>
      </x:c>
      <x:c r="E3" s="34" t="str">
        <x:v>SKU</x:v>
      </x:c>
      <x:c r="F3" s="34" t="str">
        <x:v>Description</x:v>
      </x:c>
      <x:c r="G3" s="34" t="str">
        <x:v>Category</x:v>
      </x:c>
      <x:c r="H3" s="34" t="str">
        <x:v>Quantity On Hand</x:v>
      </x:c>
      <x:c r="I3" s="34" t="str">
        <x:v>Unit Cost</x:v>
      </x:c>
      <x:c r="J3" s="34" t="str">
        <x:v>Inventory Value</x:v>
      </x:c>
      <x:c r="K3" s="34" t="str">
        <x:v>Last Usage Date</x:v>
      </x:c>
      <x:c r="L3" s="34" t="str">
        <x:v>Age Days</x:v>
      </x:c>
      <x:c r="M3" s="34" t="str">
        <x:v>Age Classification</x:v>
      </x:c>
      <x:c r="N3" s="34" t="str">
        <x:v>Strategic Legacy?</x:v>
      </x:c>
      <x:c r="O3" s="34" t="str">
        <x:v>Minimum Qty</x:v>
      </x:c>
      <x:c r="P3" s="34" t="str">
        <x:v>Maximum Qty</x:v>
      </x:c>
      <x:c r="Q3" s="34" t="str">
        <x:v>Recommended Action</x:v>
      </x:c>
    </x:row>
    <x:row r="4">
      <x:c r="A4" s="40"/>
      <x:c r="I4" s="42"/>
      <x:c r="J4" s="42" t="str">
        <x:f>IF(OR(H4="",I4=""),"",H4*I4)</x:f>
      </x:c>
      <x:c r="K4" s="40"/>
      <x:c r="L4" t="str">
        <x:f>IF(K4="","",A4-K4)</x:f>
      </x:c>
      <x:c r="M4" t="str">
        <x:f>IF(L4="","",IF(N4="Yes","Strategic Legacy",IF(L4&lt;=90,"Active",IF(L4&lt;=180,"Monitor",IF(L4&lt;=365,"Slow-Moving",IF(L4&lt;=730,"Excess","Obsolete"))))))</x:f>
      </x:c>
    </x:row>
    <x:row r="5">
      <x:c r="A5" s="40"/>
      <x:c r="I5" s="42"/>
      <x:c r="J5" s="42" t="str">
        <x:f>IF(OR(H5="",I5=""),"",H5*I5)</x:f>
      </x:c>
      <x:c r="K5" s="40"/>
      <x:c r="L5" t="str">
        <x:f>IF(K5="","",A5-K5)</x:f>
      </x:c>
      <x:c r="M5" t="str">
        <x:f>IF(L5="","",IF(N5="Yes","Strategic Legacy",IF(L5&lt;=90,"Active",IF(L5&lt;=180,"Monitor",IF(L5&lt;=365,"Slow-Moving",IF(L5&lt;=730,"Excess","Obsolete"))))))</x:f>
      </x:c>
    </x:row>
    <x:row r="6">
      <x:c r="A6" s="40"/>
      <x:c r="I6" s="42"/>
      <x:c r="J6" s="42" t="str">
        <x:f>IF(OR(H6="",I6=""),"",H6*I6)</x:f>
      </x:c>
      <x:c r="K6" s="40"/>
      <x:c r="L6" t="str">
        <x:f>IF(K6="","",A6-K6)</x:f>
      </x:c>
      <x:c r="M6" t="str">
        <x:f>IF(L6="","",IF(N6="Yes","Strategic Legacy",IF(L6&lt;=90,"Active",IF(L6&lt;=180,"Monitor",IF(L6&lt;=365,"Slow-Moving",IF(L6&lt;=730,"Excess","Obsolete"))))))</x:f>
      </x:c>
    </x:row>
    <x:row r="7">
      <x:c r="A7" s="40"/>
      <x:c r="I7" s="42"/>
      <x:c r="J7" s="42" t="str">
        <x:f>IF(OR(H7="",I7=""),"",H7*I7)</x:f>
      </x:c>
      <x:c r="K7" s="40"/>
      <x:c r="L7" t="str">
        <x:f>IF(K7="","",A7-K7)</x:f>
      </x:c>
      <x:c r="M7" t="str">
        <x:f>IF(L7="","",IF(N7="Yes","Strategic Legacy",IF(L7&lt;=90,"Active",IF(L7&lt;=180,"Monitor",IF(L7&lt;=365,"Slow-Moving",IF(L7&lt;=730,"Excess","Obsolete"))))))</x:f>
      </x:c>
    </x:row>
    <x:row r="8">
      <x:c r="A8" s="40"/>
      <x:c r="I8" s="42"/>
      <x:c r="J8" s="42" t="str">
        <x:f>IF(OR(H8="",I8=""),"",H8*I8)</x:f>
      </x:c>
      <x:c r="K8" s="40"/>
      <x:c r="L8" t="str">
        <x:f>IF(K8="","",A8-K8)</x:f>
      </x:c>
      <x:c r="M8" t="str">
        <x:f>IF(L8="","",IF(N8="Yes","Strategic Legacy",IF(L8&lt;=90,"Active",IF(L8&lt;=180,"Monitor",IF(L8&lt;=365,"Slow-Moving",IF(L8&lt;=730,"Excess","Obsolete"))))))</x:f>
      </x:c>
    </x:row>
    <x:row r="9">
      <x:c r="A9" s="40"/>
      <x:c r="I9" s="42"/>
      <x:c r="J9" s="42" t="str">
        <x:f>IF(OR(H9="",I9=""),"",H9*I9)</x:f>
      </x:c>
      <x:c r="K9" s="40"/>
      <x:c r="L9" t="str">
        <x:f>IF(K9="","",A9-K9)</x:f>
      </x:c>
      <x:c r="M9" t="str">
        <x:f>IF(L9="","",IF(N9="Yes","Strategic Legacy",IF(L9&lt;=90,"Active",IF(L9&lt;=180,"Monitor",IF(L9&lt;=365,"Slow-Moving",IF(L9&lt;=730,"Excess","Obsolete"))))))</x:f>
      </x:c>
    </x:row>
    <x:row r="10">
      <x:c r="A10" s="40"/>
      <x:c r="I10" s="42"/>
      <x:c r="J10" s="42" t="str">
        <x:f>IF(OR(H10="",I10=""),"",H10*I10)</x:f>
      </x:c>
      <x:c r="K10" s="40"/>
      <x:c r="L10" t="str">
        <x:f>IF(K10="","",A10-K10)</x:f>
      </x:c>
      <x:c r="M10" t="str">
        <x:f>IF(L10="","",IF(N10="Yes","Strategic Legacy",IF(L10&lt;=90,"Active",IF(L10&lt;=180,"Monitor",IF(L10&lt;=365,"Slow-Moving",IF(L10&lt;=730,"Excess","Obsolete"))))))</x:f>
      </x:c>
    </x:row>
    <x:row r="11">
      <x:c r="A11" s="40"/>
      <x:c r="I11" s="42"/>
      <x:c r="J11" s="42" t="str">
        <x:f>IF(OR(H11="",I11=""),"",H11*I11)</x:f>
      </x:c>
      <x:c r="K11" s="40"/>
      <x:c r="L11" t="str">
        <x:f>IF(K11="","",A11-K11)</x:f>
      </x:c>
      <x:c r="M11" t="str">
        <x:f>IF(L11="","",IF(N11="Yes","Strategic Legacy",IF(L11&lt;=90,"Active",IF(L11&lt;=180,"Monitor",IF(L11&lt;=365,"Slow-Moving",IF(L11&lt;=730,"Excess","Obsolete"))))))</x:f>
      </x:c>
    </x:row>
    <x:row r="12">
      <x:c r="A12" s="40"/>
      <x:c r="I12" s="42"/>
      <x:c r="J12" s="42" t="str">
        <x:f>IF(OR(H12="",I12=""),"",H12*I12)</x:f>
      </x:c>
      <x:c r="K12" s="40"/>
      <x:c r="L12" t="str">
        <x:f>IF(K12="","",A12-K12)</x:f>
      </x:c>
      <x:c r="M12" t="str">
        <x:f>IF(L12="","",IF(N12="Yes","Strategic Legacy",IF(L12&lt;=90,"Active",IF(L12&lt;=180,"Monitor",IF(L12&lt;=365,"Slow-Moving",IF(L12&lt;=730,"Excess","Obsolete"))))))</x:f>
      </x:c>
    </x:row>
    <x:row r="13">
      <x:c r="A13" s="40"/>
      <x:c r="I13" s="42"/>
      <x:c r="J13" s="42" t="str">
        <x:f>IF(OR(H13="",I13=""),"",H13*I13)</x:f>
      </x:c>
      <x:c r="K13" s="40"/>
      <x:c r="L13" t="str">
        <x:f>IF(K13="","",A13-K13)</x:f>
      </x:c>
      <x:c r="M13" t="str">
        <x:f>IF(L13="","",IF(N13="Yes","Strategic Legacy",IF(L13&lt;=90,"Active",IF(L13&lt;=180,"Monitor",IF(L13&lt;=365,"Slow-Moving",IF(L13&lt;=730,"Excess","Obsolete"))))))</x:f>
      </x:c>
    </x:row>
    <x:row r="14">
      <x:c r="A14" s="40"/>
      <x:c r="I14" s="42"/>
      <x:c r="J14" s="42" t="str">
        <x:f>IF(OR(H14="",I14=""),"",H14*I14)</x:f>
      </x:c>
      <x:c r="K14" s="40"/>
      <x:c r="L14" t="str">
        <x:f>IF(K14="","",A14-K14)</x:f>
      </x:c>
      <x:c r="M14" t="str">
        <x:f>IF(L14="","",IF(N14="Yes","Strategic Legacy",IF(L14&lt;=90,"Active",IF(L14&lt;=180,"Monitor",IF(L14&lt;=365,"Slow-Moving",IF(L14&lt;=730,"Excess","Obsolete"))))))</x:f>
      </x:c>
    </x:row>
    <x:row r="15">
      <x:c r="A15" s="40"/>
      <x:c r="I15" s="42"/>
      <x:c r="J15" s="42" t="str">
        <x:f>IF(OR(H15="",I15=""),"",H15*I15)</x:f>
      </x:c>
      <x:c r="K15" s="40"/>
      <x:c r="L15" t="str">
        <x:f>IF(K15="","",A15-K15)</x:f>
      </x:c>
      <x:c r="M15" t="str">
        <x:f>IF(L15="","",IF(N15="Yes","Strategic Legacy",IF(L15&lt;=90,"Active",IF(L15&lt;=180,"Monitor",IF(L15&lt;=365,"Slow-Moving",IF(L15&lt;=730,"Excess","Obsolete"))))))</x:f>
      </x:c>
    </x:row>
    <x:row r="16">
      <x:c r="A16" s="40"/>
      <x:c r="I16" s="42"/>
      <x:c r="J16" s="42" t="str">
        <x:f>IF(OR(H16="",I16=""),"",H16*I16)</x:f>
      </x:c>
      <x:c r="K16" s="40"/>
      <x:c r="L16" t="str">
        <x:f>IF(K16="","",A16-K16)</x:f>
      </x:c>
      <x:c r="M16" t="str">
        <x:f>IF(L16="","",IF(N16="Yes","Strategic Legacy",IF(L16&lt;=90,"Active",IF(L16&lt;=180,"Monitor",IF(L16&lt;=365,"Slow-Moving",IF(L16&lt;=730,"Excess","Obsolete"))))))</x:f>
      </x:c>
    </x:row>
    <x:row r="17">
      <x:c r="A17" s="40"/>
      <x:c r="I17" s="42"/>
      <x:c r="J17" s="42" t="str">
        <x:f>IF(OR(H17="",I17=""),"",H17*I17)</x:f>
      </x:c>
      <x:c r="K17" s="40"/>
      <x:c r="L17" t="str">
        <x:f>IF(K17="","",A17-K17)</x:f>
      </x:c>
      <x:c r="M17" t="str">
        <x:f>IF(L17="","",IF(N17="Yes","Strategic Legacy",IF(L17&lt;=90,"Active",IF(L17&lt;=180,"Monitor",IF(L17&lt;=365,"Slow-Moving",IF(L17&lt;=730,"Excess","Obsolete"))))))</x:f>
      </x:c>
    </x:row>
    <x:row r="18">
      <x:c r="A18" s="40"/>
      <x:c r="I18" s="42"/>
      <x:c r="J18" s="42" t="str">
        <x:f>IF(OR(H18="",I18=""),"",H18*I18)</x:f>
      </x:c>
      <x:c r="K18" s="40"/>
      <x:c r="L18" t="str">
        <x:f>IF(K18="","",A18-K18)</x:f>
      </x:c>
      <x:c r="M18" t="str">
        <x:f>IF(L18="","",IF(N18="Yes","Strategic Legacy",IF(L18&lt;=90,"Active",IF(L18&lt;=180,"Monitor",IF(L18&lt;=365,"Slow-Moving",IF(L18&lt;=730,"Excess","Obsolete"))))))</x:f>
      </x:c>
    </x:row>
    <x:row r="19">
      <x:c r="A19" s="40"/>
      <x:c r="I19" s="42"/>
      <x:c r="J19" s="42" t="str">
        <x:f>IF(OR(H19="",I19=""),"",H19*I19)</x:f>
      </x:c>
      <x:c r="K19" s="40"/>
      <x:c r="L19" t="str">
        <x:f>IF(K19="","",A19-K19)</x:f>
      </x:c>
      <x:c r="M19" t="str">
        <x:f>IF(L19="","",IF(N19="Yes","Strategic Legacy",IF(L19&lt;=90,"Active",IF(L19&lt;=180,"Monitor",IF(L19&lt;=365,"Slow-Moving",IF(L19&lt;=730,"Excess","Obsolete"))))))</x:f>
      </x:c>
    </x:row>
    <x:row r="20">
      <x:c r="A20" s="40"/>
      <x:c r="I20" s="42"/>
      <x:c r="J20" s="42" t="str">
        <x:f>IF(OR(H20="",I20=""),"",H20*I20)</x:f>
      </x:c>
      <x:c r="K20" s="40"/>
      <x:c r="L20" t="str">
        <x:f>IF(K20="","",A20-K20)</x:f>
      </x:c>
      <x:c r="M20" t="str">
        <x:f>IF(L20="","",IF(N20="Yes","Strategic Legacy",IF(L20&lt;=90,"Active",IF(L20&lt;=180,"Monitor",IF(L20&lt;=365,"Slow-Moving",IF(L20&lt;=730,"Excess","Obsolete"))))))</x:f>
      </x:c>
    </x:row>
    <x:row r="21">
      <x:c r="A21" s="40"/>
      <x:c r="I21" s="42"/>
      <x:c r="J21" s="42" t="str">
        <x:f>IF(OR(H21="",I21=""),"",H21*I21)</x:f>
      </x:c>
      <x:c r="K21" s="40"/>
      <x:c r="L21" t="str">
        <x:f>IF(K21="","",A21-K21)</x:f>
      </x:c>
      <x:c r="M21" t="str">
        <x:f>IF(L21="","",IF(N21="Yes","Strategic Legacy",IF(L21&lt;=90,"Active",IF(L21&lt;=180,"Monitor",IF(L21&lt;=365,"Slow-Moving",IF(L21&lt;=730,"Excess","Obsolete"))))))</x:f>
      </x:c>
    </x:row>
    <x:row r="22">
      <x:c r="A22" s="40"/>
      <x:c r="I22" s="42"/>
      <x:c r="J22" s="42" t="str">
        <x:f>IF(OR(H22="",I22=""),"",H22*I22)</x:f>
      </x:c>
      <x:c r="K22" s="40"/>
      <x:c r="L22" t="str">
        <x:f>IF(K22="","",A22-K22)</x:f>
      </x:c>
      <x:c r="M22" t="str">
        <x:f>IF(L22="","",IF(N22="Yes","Strategic Legacy",IF(L22&lt;=90,"Active",IF(L22&lt;=180,"Monitor",IF(L22&lt;=365,"Slow-Moving",IF(L22&lt;=730,"Excess","Obsolete"))))))</x:f>
      </x:c>
    </x:row>
    <x:row r="23">
      <x:c r="A23" s="40"/>
      <x:c r="I23" s="42"/>
      <x:c r="J23" s="42" t="str">
        <x:f>IF(OR(H23="",I23=""),"",H23*I23)</x:f>
      </x:c>
      <x:c r="K23" s="40"/>
      <x:c r="L23" t="str">
        <x:f>IF(K23="","",A23-K23)</x:f>
      </x:c>
      <x:c r="M23" t="str">
        <x:f>IF(L23="","",IF(N23="Yes","Strategic Legacy",IF(L23&lt;=90,"Active",IF(L23&lt;=180,"Monitor",IF(L23&lt;=365,"Slow-Moving",IF(L23&lt;=730,"Excess","Obsolete"))))))</x:f>
      </x:c>
    </x:row>
    <x:row r="24">
      <x:c r="A24" s="40"/>
      <x:c r="I24" s="42"/>
      <x:c r="J24" s="42" t="str">
        <x:f>IF(OR(H24="",I24=""),"",H24*I24)</x:f>
      </x:c>
      <x:c r="K24" s="40"/>
      <x:c r="L24" t="str">
        <x:f>IF(K24="","",A24-K24)</x:f>
      </x:c>
      <x:c r="M24" t="str">
        <x:f>IF(L24="","",IF(N24="Yes","Strategic Legacy",IF(L24&lt;=90,"Active",IF(L24&lt;=180,"Monitor",IF(L24&lt;=365,"Slow-Moving",IF(L24&lt;=730,"Excess","Obsolete"))))))</x:f>
      </x:c>
    </x:row>
    <x:row r="25">
      <x:c r="A25" s="40"/>
      <x:c r="I25" s="42"/>
      <x:c r="J25" s="42" t="str">
        <x:f>IF(OR(H25="",I25=""),"",H25*I25)</x:f>
      </x:c>
      <x:c r="K25" s="40"/>
      <x:c r="L25" t="str">
        <x:f>IF(K25="","",A25-K25)</x:f>
      </x:c>
      <x:c r="M25" t="str">
        <x:f>IF(L25="","",IF(N25="Yes","Strategic Legacy",IF(L25&lt;=90,"Active",IF(L25&lt;=180,"Monitor",IF(L25&lt;=365,"Slow-Moving",IF(L25&lt;=730,"Excess","Obsolete"))))))</x:f>
      </x:c>
    </x:row>
    <x:row r="26">
      <x:c r="A26" s="40"/>
      <x:c r="I26" s="42"/>
      <x:c r="J26" s="42" t="str">
        <x:f>IF(OR(H26="",I26=""),"",H26*I26)</x:f>
      </x:c>
      <x:c r="K26" s="40"/>
      <x:c r="L26" t="str">
        <x:f>IF(K26="","",A26-K26)</x:f>
      </x:c>
      <x:c r="M26" t="str">
        <x:f>IF(L26="","",IF(N26="Yes","Strategic Legacy",IF(L26&lt;=90,"Active",IF(L26&lt;=180,"Monitor",IF(L26&lt;=365,"Slow-Moving",IF(L26&lt;=730,"Excess","Obsolete"))))))</x:f>
      </x:c>
    </x:row>
    <x:row r="27">
      <x:c r="A27" s="40"/>
      <x:c r="I27" s="42"/>
      <x:c r="J27" s="42" t="str">
        <x:f>IF(OR(H27="",I27=""),"",H27*I27)</x:f>
      </x:c>
      <x:c r="K27" s="40"/>
      <x:c r="L27" t="str">
        <x:f>IF(K27="","",A27-K27)</x:f>
      </x:c>
      <x:c r="M27" t="str">
        <x:f>IF(L27="","",IF(N27="Yes","Strategic Legacy",IF(L27&lt;=90,"Active",IF(L27&lt;=180,"Monitor",IF(L27&lt;=365,"Slow-Moving",IF(L27&lt;=730,"Excess","Obsolete"))))))</x:f>
      </x:c>
    </x:row>
    <x:row r="28">
      <x:c r="A28" s="40"/>
      <x:c r="I28" s="42"/>
      <x:c r="J28" s="42" t="str">
        <x:f>IF(OR(H28="",I28=""),"",H28*I28)</x:f>
      </x:c>
      <x:c r="K28" s="40"/>
      <x:c r="L28" t="str">
        <x:f>IF(K28="","",A28-K28)</x:f>
      </x:c>
      <x:c r="M28" t="str">
        <x:f>IF(L28="","",IF(N28="Yes","Strategic Legacy",IF(L28&lt;=90,"Active",IF(L28&lt;=180,"Monitor",IF(L28&lt;=365,"Slow-Moving",IF(L28&lt;=730,"Excess","Obsolete"))))))</x:f>
      </x:c>
    </x:row>
    <x:row r="29">
      <x:c r="A29" s="40"/>
      <x:c r="I29" s="42"/>
      <x:c r="J29" s="42" t="str">
        <x:f>IF(OR(H29="",I29=""),"",H29*I29)</x:f>
      </x:c>
      <x:c r="K29" s="40"/>
      <x:c r="L29" t="str">
        <x:f>IF(K29="","",A29-K29)</x:f>
      </x:c>
      <x:c r="M29" t="str">
        <x:f>IF(L29="","",IF(N29="Yes","Strategic Legacy",IF(L29&lt;=90,"Active",IF(L29&lt;=180,"Monitor",IF(L29&lt;=365,"Slow-Moving",IF(L29&lt;=730,"Excess","Obsolete"))))))</x:f>
      </x:c>
    </x:row>
    <x:row r="30">
      <x:c r="A30" s="40"/>
      <x:c r="I30" s="42"/>
      <x:c r="J30" s="42" t="str">
        <x:f>IF(OR(H30="",I30=""),"",H30*I30)</x:f>
      </x:c>
      <x:c r="K30" s="40"/>
      <x:c r="L30" t="str">
        <x:f>IF(K30="","",A30-K30)</x:f>
      </x:c>
      <x:c r="M30" t="str">
        <x:f>IF(L30="","",IF(N30="Yes","Strategic Legacy",IF(L30&lt;=90,"Active",IF(L30&lt;=180,"Monitor",IF(L30&lt;=365,"Slow-Moving",IF(L30&lt;=730,"Excess","Obsolete"))))))</x:f>
      </x:c>
    </x:row>
    <x:row r="31">
      <x:c r="A31" s="40"/>
      <x:c r="I31" s="42"/>
      <x:c r="J31" s="42" t="str">
        <x:f>IF(OR(H31="",I31=""),"",H31*I31)</x:f>
      </x:c>
      <x:c r="K31" s="40"/>
      <x:c r="L31" t="str">
        <x:f>IF(K31="","",A31-K31)</x:f>
      </x:c>
      <x:c r="M31" t="str">
        <x:f>IF(L31="","",IF(N31="Yes","Strategic Legacy",IF(L31&lt;=90,"Active",IF(L31&lt;=180,"Monitor",IF(L31&lt;=365,"Slow-Moving",IF(L31&lt;=730,"Excess","Obsolete"))))))</x:f>
      </x:c>
    </x:row>
    <x:row r="32">
      <x:c r="A32" s="40"/>
      <x:c r="I32" s="42"/>
      <x:c r="J32" s="42" t="str">
        <x:f>IF(OR(H32="",I32=""),"",H32*I32)</x:f>
      </x:c>
      <x:c r="K32" s="40"/>
      <x:c r="L32" t="str">
        <x:f>IF(K32="","",A32-K32)</x:f>
      </x:c>
      <x:c r="M32" t="str">
        <x:f>IF(L32="","",IF(N32="Yes","Strategic Legacy",IF(L32&lt;=90,"Active",IF(L32&lt;=180,"Monitor",IF(L32&lt;=365,"Slow-Moving",IF(L32&lt;=730,"Excess","Obsolete"))))))</x:f>
      </x:c>
    </x:row>
    <x:row r="33">
      <x:c r="A33" s="40"/>
      <x:c r="I33" s="42"/>
      <x:c r="J33" s="42" t="str">
        <x:f>IF(OR(H33="",I33=""),"",H33*I33)</x:f>
      </x:c>
      <x:c r="K33" s="40"/>
      <x:c r="L33" t="str">
        <x:f>IF(K33="","",A33-K33)</x:f>
      </x:c>
      <x:c r="M33" t="str">
        <x:f>IF(L33="","",IF(N33="Yes","Strategic Legacy",IF(L33&lt;=90,"Active",IF(L33&lt;=180,"Monitor",IF(L33&lt;=365,"Slow-Moving",IF(L33&lt;=730,"Excess","Obsolete"))))))</x:f>
      </x:c>
    </x:row>
    <x:row r="34">
      <x:c r="A34" s="40"/>
      <x:c r="I34" s="42"/>
      <x:c r="J34" s="42" t="str">
        <x:f>IF(OR(H34="",I34=""),"",H34*I34)</x:f>
      </x:c>
      <x:c r="K34" s="40"/>
      <x:c r="L34" t="str">
        <x:f>IF(K34="","",A34-K34)</x:f>
      </x:c>
      <x:c r="M34" t="str">
        <x:f>IF(L34="","",IF(N34="Yes","Strategic Legacy",IF(L34&lt;=90,"Active",IF(L34&lt;=180,"Monitor",IF(L34&lt;=365,"Slow-Moving",IF(L34&lt;=730,"Excess","Obsolete"))))))</x:f>
      </x:c>
    </x:row>
    <x:row r="35">
      <x:c r="A35" s="40"/>
      <x:c r="I35" s="42"/>
      <x:c r="J35" s="42" t="str">
        <x:f>IF(OR(H35="",I35=""),"",H35*I35)</x:f>
      </x:c>
      <x:c r="K35" s="40"/>
      <x:c r="L35" t="str">
        <x:f>IF(K35="","",A35-K35)</x:f>
      </x:c>
      <x:c r="M35" t="str">
        <x:f>IF(L35="","",IF(N35="Yes","Strategic Legacy",IF(L35&lt;=90,"Active",IF(L35&lt;=180,"Monitor",IF(L35&lt;=365,"Slow-Moving",IF(L35&lt;=730,"Excess","Obsolete"))))))</x:f>
      </x:c>
    </x:row>
    <x:row r="36">
      <x:c r="A36" s="40"/>
      <x:c r="I36" s="42"/>
      <x:c r="J36" s="42" t="str">
        <x:f>IF(OR(H36="",I36=""),"",H36*I36)</x:f>
      </x:c>
      <x:c r="K36" s="40"/>
      <x:c r="L36" t="str">
        <x:f>IF(K36="","",A36-K36)</x:f>
      </x:c>
      <x:c r="M36" t="str">
        <x:f>IF(L36="","",IF(N36="Yes","Strategic Legacy",IF(L36&lt;=90,"Active",IF(L36&lt;=180,"Monitor",IF(L36&lt;=365,"Slow-Moving",IF(L36&lt;=730,"Excess","Obsolete"))))))</x:f>
      </x:c>
    </x:row>
    <x:row r="37">
      <x:c r="A37" s="40"/>
      <x:c r="I37" s="42"/>
      <x:c r="J37" s="42" t="str">
        <x:f>IF(OR(H37="",I37=""),"",H37*I37)</x:f>
      </x:c>
      <x:c r="K37" s="40"/>
      <x:c r="L37" t="str">
        <x:f>IF(K37="","",A37-K37)</x:f>
      </x:c>
      <x:c r="M37" t="str">
        <x:f>IF(L37="","",IF(N37="Yes","Strategic Legacy",IF(L37&lt;=90,"Active",IF(L37&lt;=180,"Monitor",IF(L37&lt;=365,"Slow-Moving",IF(L37&lt;=730,"Excess","Obsolete"))))))</x:f>
      </x:c>
    </x:row>
    <x:row r="38">
      <x:c r="A38" s="40"/>
      <x:c r="I38" s="42"/>
      <x:c r="J38" s="42" t="str">
        <x:f>IF(OR(H38="",I38=""),"",H38*I38)</x:f>
      </x:c>
      <x:c r="K38" s="40"/>
      <x:c r="L38" t="str">
        <x:f>IF(K38="","",A38-K38)</x:f>
      </x:c>
      <x:c r="M38" t="str">
        <x:f>IF(L38="","",IF(N38="Yes","Strategic Legacy",IF(L38&lt;=90,"Active",IF(L38&lt;=180,"Monitor",IF(L38&lt;=365,"Slow-Moving",IF(L38&lt;=730,"Excess","Obsolete"))))))</x:f>
      </x:c>
    </x:row>
    <x:row r="39">
      <x:c r="A39" s="40"/>
      <x:c r="I39" s="42"/>
      <x:c r="J39" s="42" t="str">
        <x:f>IF(OR(H39="",I39=""),"",H39*I39)</x:f>
      </x:c>
      <x:c r="K39" s="40"/>
      <x:c r="L39" t="str">
        <x:f>IF(K39="","",A39-K39)</x:f>
      </x:c>
      <x:c r="M39" t="str">
        <x:f>IF(L39="","",IF(N39="Yes","Strategic Legacy",IF(L39&lt;=90,"Active",IF(L39&lt;=180,"Monitor",IF(L39&lt;=365,"Slow-Moving",IF(L39&lt;=730,"Excess","Obsolete"))))))</x:f>
      </x:c>
    </x:row>
    <x:row r="40">
      <x:c r="A40" s="40"/>
      <x:c r="I40" s="42"/>
      <x:c r="J40" s="42" t="str">
        <x:f>IF(OR(H40="",I40=""),"",H40*I40)</x:f>
      </x:c>
      <x:c r="K40" s="40"/>
      <x:c r="L40" t="str">
        <x:f>IF(K40="","",A40-K40)</x:f>
      </x:c>
      <x:c r="M40" t="str">
        <x:f>IF(L40="","",IF(N40="Yes","Strategic Legacy",IF(L40&lt;=90,"Active",IF(L40&lt;=180,"Monitor",IF(L40&lt;=365,"Slow-Moving",IF(L40&lt;=730,"Excess","Obsolete"))))))</x:f>
      </x:c>
    </x:row>
    <x:row r="41">
      <x:c r="A41" s="40"/>
      <x:c r="I41" s="42"/>
      <x:c r="J41" s="42" t="str">
        <x:f>IF(OR(H41="",I41=""),"",H41*I41)</x:f>
      </x:c>
      <x:c r="K41" s="40"/>
      <x:c r="L41" t="str">
        <x:f>IF(K41="","",A41-K41)</x:f>
      </x:c>
      <x:c r="M41" t="str">
        <x:f>IF(L41="","",IF(N41="Yes","Strategic Legacy",IF(L41&lt;=90,"Active",IF(L41&lt;=180,"Monitor",IF(L41&lt;=365,"Slow-Moving",IF(L41&lt;=730,"Excess","Obsolete"))))))</x:f>
      </x:c>
    </x:row>
    <x:row r="42">
      <x:c r="A42" s="40"/>
      <x:c r="I42" s="42"/>
      <x:c r="J42" s="42" t="str">
        <x:f>IF(OR(H42="",I42=""),"",H42*I42)</x:f>
      </x:c>
      <x:c r="K42" s="40"/>
      <x:c r="L42" t="str">
        <x:f>IF(K42="","",A42-K42)</x:f>
      </x:c>
      <x:c r="M42" t="str">
        <x:f>IF(L42="","",IF(N42="Yes","Strategic Legacy",IF(L42&lt;=90,"Active",IF(L42&lt;=180,"Monitor",IF(L42&lt;=365,"Slow-Moving",IF(L42&lt;=730,"Excess","Obsolete"))))))</x:f>
      </x:c>
    </x:row>
    <x:row r="43">
      <x:c r="A43" s="40"/>
      <x:c r="I43" s="42"/>
      <x:c r="J43" s="42" t="str">
        <x:f>IF(OR(H43="",I43=""),"",H43*I43)</x:f>
      </x:c>
      <x:c r="K43" s="40"/>
      <x:c r="L43" t="str">
        <x:f>IF(K43="","",A43-K43)</x:f>
      </x:c>
      <x:c r="M43" t="str">
        <x:f>IF(L43="","",IF(N43="Yes","Strategic Legacy",IF(L43&lt;=90,"Active",IF(L43&lt;=180,"Monitor",IF(L43&lt;=365,"Slow-Moving",IF(L43&lt;=730,"Excess","Obsolete"))))))</x:f>
      </x:c>
    </x:row>
    <x:row r="44">
      <x:c r="A44" s="40"/>
      <x:c r="I44" s="42"/>
      <x:c r="J44" s="42" t="str">
        <x:f>IF(OR(H44="",I44=""),"",H44*I44)</x:f>
      </x:c>
      <x:c r="K44" s="40"/>
      <x:c r="L44" t="str">
        <x:f>IF(K44="","",A44-K44)</x:f>
      </x:c>
      <x:c r="M44" t="str">
        <x:f>IF(L44="","",IF(N44="Yes","Strategic Legacy",IF(L44&lt;=90,"Active",IF(L44&lt;=180,"Monitor",IF(L44&lt;=365,"Slow-Moving",IF(L44&lt;=730,"Excess","Obsolete"))))))</x:f>
      </x:c>
    </x:row>
    <x:row r="45">
      <x:c r="A45" s="40"/>
      <x:c r="I45" s="42"/>
      <x:c r="J45" s="42" t="str">
        <x:f>IF(OR(H45="",I45=""),"",H45*I45)</x:f>
      </x:c>
      <x:c r="K45" s="40"/>
      <x:c r="L45" t="str">
        <x:f>IF(K45="","",A45-K45)</x:f>
      </x:c>
      <x:c r="M45" t="str">
        <x:f>IF(L45="","",IF(N45="Yes","Strategic Legacy",IF(L45&lt;=90,"Active",IF(L45&lt;=180,"Monitor",IF(L45&lt;=365,"Slow-Moving",IF(L45&lt;=730,"Excess","Obsolete"))))))</x:f>
      </x:c>
    </x:row>
    <x:row r="46">
      <x:c r="A46" s="40"/>
      <x:c r="I46" s="42"/>
      <x:c r="J46" s="42" t="str">
        <x:f>IF(OR(H46="",I46=""),"",H46*I46)</x:f>
      </x:c>
      <x:c r="K46" s="40"/>
      <x:c r="L46" t="str">
        <x:f>IF(K46="","",A46-K46)</x:f>
      </x:c>
      <x:c r="M46" t="str">
        <x:f>IF(L46="","",IF(N46="Yes","Strategic Legacy",IF(L46&lt;=90,"Active",IF(L46&lt;=180,"Monitor",IF(L46&lt;=365,"Slow-Moving",IF(L46&lt;=730,"Excess","Obsolete"))))))</x:f>
      </x:c>
    </x:row>
    <x:row r="47">
      <x:c r="A47" s="40"/>
      <x:c r="I47" s="42"/>
      <x:c r="J47" s="42" t="str">
        <x:f>IF(OR(H47="",I47=""),"",H47*I47)</x:f>
      </x:c>
      <x:c r="K47" s="40"/>
      <x:c r="L47" t="str">
        <x:f>IF(K47="","",A47-K47)</x:f>
      </x:c>
      <x:c r="M47" t="str">
        <x:f>IF(L47="","",IF(N47="Yes","Strategic Legacy",IF(L47&lt;=90,"Active",IF(L47&lt;=180,"Monitor",IF(L47&lt;=365,"Slow-Moving",IF(L47&lt;=730,"Excess","Obsolete"))))))</x:f>
      </x:c>
    </x:row>
    <x:row r="48">
      <x:c r="A48" s="40"/>
      <x:c r="I48" s="42"/>
      <x:c r="J48" s="42" t="str">
        <x:f>IF(OR(H48="",I48=""),"",H48*I48)</x:f>
      </x:c>
      <x:c r="K48" s="40"/>
      <x:c r="L48" t="str">
        <x:f>IF(K48="","",A48-K48)</x:f>
      </x:c>
      <x:c r="M48" t="str">
        <x:f>IF(L48="","",IF(N48="Yes","Strategic Legacy",IF(L48&lt;=90,"Active",IF(L48&lt;=180,"Monitor",IF(L48&lt;=365,"Slow-Moving",IF(L48&lt;=730,"Excess","Obsolete"))))))</x:f>
      </x:c>
    </x:row>
    <x:row r="49">
      <x:c r="A49" s="40"/>
      <x:c r="I49" s="42"/>
      <x:c r="J49" s="42" t="str">
        <x:f>IF(OR(H49="",I49=""),"",H49*I49)</x:f>
      </x:c>
      <x:c r="K49" s="40"/>
      <x:c r="L49" t="str">
        <x:f>IF(K49="","",A49-K49)</x:f>
      </x:c>
      <x:c r="M49" t="str">
        <x:f>IF(L49="","",IF(N49="Yes","Strategic Legacy",IF(L49&lt;=90,"Active",IF(L49&lt;=180,"Monitor",IF(L49&lt;=365,"Slow-Moving",IF(L49&lt;=730,"Excess","Obsolete"))))))</x:f>
      </x:c>
    </x:row>
    <x:row r="50">
      <x:c r="A50" s="40"/>
      <x:c r="I50" s="42"/>
      <x:c r="J50" s="42" t="str">
        <x:f>IF(OR(H50="",I50=""),"",H50*I50)</x:f>
      </x:c>
      <x:c r="K50" s="40"/>
      <x:c r="L50" t="str">
        <x:f>IF(K50="","",A50-K50)</x:f>
      </x:c>
      <x:c r="M50" t="str">
        <x:f>IF(L50="","",IF(N50="Yes","Strategic Legacy",IF(L50&lt;=90,"Active",IF(L50&lt;=180,"Monitor",IF(L50&lt;=365,"Slow-Moving",IF(L50&lt;=730,"Excess","Obsolete"))))))</x:f>
      </x:c>
    </x:row>
    <x:row r="51">
      <x:c r="A51" s="40"/>
      <x:c r="I51" s="42"/>
      <x:c r="J51" s="42" t="str">
        <x:f>IF(OR(H51="",I51=""),"",H51*I51)</x:f>
      </x:c>
      <x:c r="K51" s="40"/>
      <x:c r="L51" t="str">
        <x:f>IF(K51="","",A51-K51)</x:f>
      </x:c>
      <x:c r="M51" t="str">
        <x:f>IF(L51="","",IF(N51="Yes","Strategic Legacy",IF(L51&lt;=90,"Active",IF(L51&lt;=180,"Monitor",IF(L51&lt;=365,"Slow-Moving",IF(L51&lt;=730,"Excess","Obsolete"))))))</x:f>
      </x:c>
    </x:row>
    <x:row r="52">
      <x:c r="A52" s="40"/>
      <x:c r="I52" s="42"/>
      <x:c r="J52" s="42" t="str">
        <x:f>IF(OR(H52="",I52=""),"",H52*I52)</x:f>
      </x:c>
      <x:c r="K52" s="40"/>
      <x:c r="L52" t="str">
        <x:f>IF(K52="","",A52-K52)</x:f>
      </x:c>
      <x:c r="M52" t="str">
        <x:f>IF(L52="","",IF(N52="Yes","Strategic Legacy",IF(L52&lt;=90,"Active",IF(L52&lt;=180,"Monitor",IF(L52&lt;=365,"Slow-Moving",IF(L52&lt;=730,"Excess","Obsolete"))))))</x:f>
      </x:c>
    </x:row>
    <x:row r="53">
      <x:c r="A53" s="40"/>
      <x:c r="I53" s="42"/>
      <x:c r="J53" s="42" t="str">
        <x:f>IF(OR(H53="",I53=""),"",H53*I53)</x:f>
      </x:c>
      <x:c r="K53" s="40"/>
      <x:c r="L53" t="str">
        <x:f>IF(K53="","",A53-K53)</x:f>
      </x:c>
      <x:c r="M53" t="str">
        <x:f>IF(L53="","",IF(N53="Yes","Strategic Legacy",IF(L53&lt;=90,"Active",IF(L53&lt;=180,"Monitor",IF(L53&lt;=365,"Slow-Moving",IF(L53&lt;=730,"Excess","Obsolete"))))))</x:f>
      </x:c>
    </x:row>
    <x:row r="54">
      <x:c r="A54" s="40"/>
      <x:c r="I54" s="42"/>
      <x:c r="J54" s="42" t="str">
        <x:f>IF(OR(H54="",I54=""),"",H54*I54)</x:f>
      </x:c>
      <x:c r="K54" s="40"/>
      <x:c r="L54" t="str">
        <x:f>IF(K54="","",A54-K54)</x:f>
      </x:c>
      <x:c r="M54" t="str">
        <x:f>IF(L54="","",IF(N54="Yes","Strategic Legacy",IF(L54&lt;=90,"Active",IF(L54&lt;=180,"Monitor",IF(L54&lt;=365,"Slow-Moving",IF(L54&lt;=730,"Excess","Obsolete"))))))</x:f>
      </x:c>
    </x:row>
    <x:row r="55">
      <x:c r="A55" s="40"/>
      <x:c r="I55" s="42"/>
      <x:c r="J55" s="42" t="str">
        <x:f>IF(OR(H55="",I55=""),"",H55*I55)</x:f>
      </x:c>
      <x:c r="K55" s="40"/>
      <x:c r="L55" t="str">
        <x:f>IF(K55="","",A55-K55)</x:f>
      </x:c>
      <x:c r="M55" t="str">
        <x:f>IF(L55="","",IF(N55="Yes","Strategic Legacy",IF(L55&lt;=90,"Active",IF(L55&lt;=180,"Monitor",IF(L55&lt;=365,"Slow-Moving",IF(L55&lt;=730,"Excess","Obsolete"))))))</x:f>
      </x:c>
    </x:row>
    <x:row r="56">
      <x:c r="A56" s="40"/>
      <x:c r="I56" s="42"/>
      <x:c r="J56" s="42" t="str">
        <x:f>IF(OR(H56="",I56=""),"",H56*I56)</x:f>
      </x:c>
      <x:c r="K56" s="40"/>
      <x:c r="L56" t="str">
        <x:f>IF(K56="","",A56-K56)</x:f>
      </x:c>
      <x:c r="M56" t="str">
        <x:f>IF(L56="","",IF(N56="Yes","Strategic Legacy",IF(L56&lt;=90,"Active",IF(L56&lt;=180,"Monitor",IF(L56&lt;=365,"Slow-Moving",IF(L56&lt;=730,"Excess","Obsolete"))))))</x:f>
      </x:c>
    </x:row>
    <x:row r="57">
      <x:c r="A57" s="40"/>
      <x:c r="I57" s="42"/>
      <x:c r="J57" s="42" t="str">
        <x:f>IF(OR(H57="",I57=""),"",H57*I57)</x:f>
      </x:c>
      <x:c r="K57" s="40"/>
      <x:c r="L57" t="str">
        <x:f>IF(K57="","",A57-K57)</x:f>
      </x:c>
      <x:c r="M57" t="str">
        <x:f>IF(L57="","",IF(N57="Yes","Strategic Legacy",IF(L57&lt;=90,"Active",IF(L57&lt;=180,"Monitor",IF(L57&lt;=365,"Slow-Moving",IF(L57&lt;=730,"Excess","Obsolete"))))))</x:f>
      </x:c>
    </x:row>
    <x:row r="58">
      <x:c r="A58" s="40"/>
      <x:c r="I58" s="42"/>
      <x:c r="J58" s="42" t="str">
        <x:f>IF(OR(H58="",I58=""),"",H58*I58)</x:f>
      </x:c>
      <x:c r="K58" s="40"/>
      <x:c r="L58" t="str">
        <x:f>IF(K58="","",A58-K58)</x:f>
      </x:c>
      <x:c r="M58" t="str">
        <x:f>IF(L58="","",IF(N58="Yes","Strategic Legacy",IF(L58&lt;=90,"Active",IF(L58&lt;=180,"Monitor",IF(L58&lt;=365,"Slow-Moving",IF(L58&lt;=730,"Excess","Obsolete"))))))</x:f>
      </x:c>
    </x:row>
    <x:row r="59">
      <x:c r="A59" s="40"/>
      <x:c r="I59" s="42"/>
      <x:c r="J59" s="42" t="str">
        <x:f>IF(OR(H59="",I59=""),"",H59*I59)</x:f>
      </x:c>
      <x:c r="K59" s="40"/>
      <x:c r="L59" t="str">
        <x:f>IF(K59="","",A59-K59)</x:f>
      </x:c>
      <x:c r="M59" t="str">
        <x:f>IF(L59="","",IF(N59="Yes","Strategic Legacy",IF(L59&lt;=90,"Active",IF(L59&lt;=180,"Monitor",IF(L59&lt;=365,"Slow-Moving",IF(L59&lt;=730,"Excess","Obsolete"))))))</x:f>
      </x:c>
    </x:row>
    <x:row r="60">
      <x:c r="A60" s="40"/>
      <x:c r="I60" s="42"/>
      <x:c r="J60" s="42" t="str">
        <x:f>IF(OR(H60="",I60=""),"",H60*I60)</x:f>
      </x:c>
      <x:c r="K60" s="40"/>
      <x:c r="L60" t="str">
        <x:f>IF(K60="","",A60-K60)</x:f>
      </x:c>
      <x:c r="M60" t="str">
        <x:f>IF(L60="","",IF(N60="Yes","Strategic Legacy",IF(L60&lt;=90,"Active",IF(L60&lt;=180,"Monitor",IF(L60&lt;=365,"Slow-Moving",IF(L60&lt;=730,"Excess","Obsolete"))))))</x:f>
      </x:c>
    </x:row>
    <x:row r="61">
      <x:c r="A61" s="40"/>
      <x:c r="I61" s="42"/>
      <x:c r="J61" s="42" t="str">
        <x:f>IF(OR(H61="",I61=""),"",H61*I61)</x:f>
      </x:c>
      <x:c r="K61" s="40"/>
      <x:c r="L61" t="str">
        <x:f>IF(K61="","",A61-K61)</x:f>
      </x:c>
      <x:c r="M61" t="str">
        <x:f>IF(L61="","",IF(N61="Yes","Strategic Legacy",IF(L61&lt;=90,"Active",IF(L61&lt;=180,"Monitor",IF(L61&lt;=365,"Slow-Moving",IF(L61&lt;=730,"Excess","Obsolete"))))))</x:f>
      </x:c>
    </x:row>
    <x:row r="62">
      <x:c r="A62" s="40"/>
      <x:c r="I62" s="42"/>
      <x:c r="J62" s="42" t="str">
        <x:f>IF(OR(H62="",I62=""),"",H62*I62)</x:f>
      </x:c>
      <x:c r="K62" s="40"/>
      <x:c r="L62" t="str">
        <x:f>IF(K62="","",A62-K62)</x:f>
      </x:c>
      <x:c r="M62" t="str">
        <x:f>IF(L62="","",IF(N62="Yes","Strategic Legacy",IF(L62&lt;=90,"Active",IF(L62&lt;=180,"Monitor",IF(L62&lt;=365,"Slow-Moving",IF(L62&lt;=730,"Excess","Obsolete"))))))</x:f>
      </x:c>
    </x:row>
    <x:row r="63">
      <x:c r="A63" s="40"/>
      <x:c r="I63" s="42"/>
      <x:c r="J63" s="42" t="str">
        <x:f>IF(OR(H63="",I63=""),"",H63*I63)</x:f>
      </x:c>
      <x:c r="K63" s="40"/>
      <x:c r="L63" t="str">
        <x:f>IF(K63="","",A63-K63)</x:f>
      </x:c>
      <x:c r="M63" t="str">
        <x:f>IF(L63="","",IF(N63="Yes","Strategic Legacy",IF(L63&lt;=90,"Active",IF(L63&lt;=180,"Monitor",IF(L63&lt;=365,"Slow-Moving",IF(L63&lt;=730,"Excess","Obsolete"))))))</x:f>
      </x:c>
    </x:row>
    <x:row r="64">
      <x:c r="A64" s="40"/>
      <x:c r="I64" s="42"/>
      <x:c r="J64" s="42" t="str">
        <x:f>IF(OR(H64="",I64=""),"",H64*I64)</x:f>
      </x:c>
      <x:c r="K64" s="40"/>
      <x:c r="L64" t="str">
        <x:f>IF(K64="","",A64-K64)</x:f>
      </x:c>
      <x:c r="M64" t="str">
        <x:f>IF(L64="","",IF(N64="Yes","Strategic Legacy",IF(L64&lt;=90,"Active",IF(L64&lt;=180,"Monitor",IF(L64&lt;=365,"Slow-Moving",IF(L64&lt;=730,"Excess","Obsolete"))))))</x:f>
      </x:c>
    </x:row>
    <x:row r="65">
      <x:c r="A65" s="40"/>
      <x:c r="I65" s="42"/>
      <x:c r="J65" s="42" t="str">
        <x:f>IF(OR(H65="",I65=""),"",H65*I65)</x:f>
      </x:c>
      <x:c r="K65" s="40"/>
      <x:c r="L65" t="str">
        <x:f>IF(K65="","",A65-K65)</x:f>
      </x:c>
      <x:c r="M65" t="str">
        <x:f>IF(L65="","",IF(N65="Yes","Strategic Legacy",IF(L65&lt;=90,"Active",IF(L65&lt;=180,"Monitor",IF(L65&lt;=365,"Slow-Moving",IF(L65&lt;=730,"Excess","Obsolete"))))))</x:f>
      </x:c>
    </x:row>
    <x:row r="66">
      <x:c r="A66" s="40"/>
      <x:c r="I66" s="42"/>
      <x:c r="J66" s="42" t="str">
        <x:f>IF(OR(H66="",I66=""),"",H66*I66)</x:f>
      </x:c>
      <x:c r="K66" s="40"/>
      <x:c r="L66" t="str">
        <x:f>IF(K66="","",A66-K66)</x:f>
      </x:c>
      <x:c r="M66" t="str">
        <x:f>IF(L66="","",IF(N66="Yes","Strategic Legacy",IF(L66&lt;=90,"Active",IF(L66&lt;=180,"Monitor",IF(L66&lt;=365,"Slow-Moving",IF(L66&lt;=730,"Excess","Obsolete"))))))</x:f>
      </x:c>
    </x:row>
    <x:row r="67">
      <x:c r="A67" s="40"/>
      <x:c r="I67" s="42"/>
      <x:c r="J67" s="42" t="str">
        <x:f>IF(OR(H67="",I67=""),"",H67*I67)</x:f>
      </x:c>
      <x:c r="K67" s="40"/>
      <x:c r="L67" t="str">
        <x:f>IF(K67="","",A67-K67)</x:f>
      </x:c>
      <x:c r="M67" t="str">
        <x:f>IF(L67="","",IF(N67="Yes","Strategic Legacy",IF(L67&lt;=90,"Active",IF(L67&lt;=180,"Monitor",IF(L67&lt;=365,"Slow-Moving",IF(L67&lt;=730,"Excess","Obsolete"))))))</x:f>
      </x:c>
    </x:row>
    <x:row r="68">
      <x:c r="A68" s="40"/>
      <x:c r="I68" s="42"/>
      <x:c r="J68" s="42" t="str">
        <x:f>IF(OR(H68="",I68=""),"",H68*I68)</x:f>
      </x:c>
      <x:c r="K68" s="40"/>
      <x:c r="L68" t="str">
        <x:f>IF(K68="","",A68-K68)</x:f>
      </x:c>
      <x:c r="M68" t="str">
        <x:f>IF(L68="","",IF(N68="Yes","Strategic Legacy",IF(L68&lt;=90,"Active",IF(L68&lt;=180,"Monitor",IF(L68&lt;=365,"Slow-Moving",IF(L68&lt;=730,"Excess","Obsolete"))))))</x:f>
      </x:c>
    </x:row>
    <x:row r="69">
      <x:c r="A69" s="40"/>
      <x:c r="I69" s="42"/>
      <x:c r="J69" s="42" t="str">
        <x:f>IF(OR(H69="",I69=""),"",H69*I69)</x:f>
      </x:c>
      <x:c r="K69" s="40"/>
      <x:c r="L69" t="str">
        <x:f>IF(K69="","",A69-K69)</x:f>
      </x:c>
      <x:c r="M69" t="str">
        <x:f>IF(L69="","",IF(N69="Yes","Strategic Legacy",IF(L69&lt;=90,"Active",IF(L69&lt;=180,"Monitor",IF(L69&lt;=365,"Slow-Moving",IF(L69&lt;=730,"Excess","Obsolete"))))))</x:f>
      </x:c>
    </x:row>
    <x:row r="70">
      <x:c r="A70" s="40"/>
      <x:c r="I70" s="42"/>
      <x:c r="J70" s="42" t="str">
        <x:f>IF(OR(H70="",I70=""),"",H70*I70)</x:f>
      </x:c>
      <x:c r="K70" s="40"/>
      <x:c r="L70" t="str">
        <x:f>IF(K70="","",A70-K70)</x:f>
      </x:c>
      <x:c r="M70" t="str">
        <x:f>IF(L70="","",IF(N70="Yes","Strategic Legacy",IF(L70&lt;=90,"Active",IF(L70&lt;=180,"Monitor",IF(L70&lt;=365,"Slow-Moving",IF(L70&lt;=730,"Excess","Obsolete"))))))</x:f>
      </x:c>
    </x:row>
    <x:row r="71">
      <x:c r="A71" s="40"/>
      <x:c r="I71" s="42"/>
      <x:c r="J71" s="42" t="str">
        <x:f>IF(OR(H71="",I71=""),"",H71*I71)</x:f>
      </x:c>
      <x:c r="K71" s="40"/>
      <x:c r="L71" t="str">
        <x:f>IF(K71="","",A71-K71)</x:f>
      </x:c>
      <x:c r="M71" t="str">
        <x:f>IF(L71="","",IF(N71="Yes","Strategic Legacy",IF(L71&lt;=90,"Active",IF(L71&lt;=180,"Monitor",IF(L71&lt;=365,"Slow-Moving",IF(L71&lt;=730,"Excess","Obsolete"))))))</x:f>
      </x:c>
    </x:row>
    <x:row r="72">
      <x:c r="A72" s="40"/>
      <x:c r="I72" s="42"/>
      <x:c r="J72" s="42" t="str">
        <x:f>IF(OR(H72="",I72=""),"",H72*I72)</x:f>
      </x:c>
      <x:c r="K72" s="40"/>
      <x:c r="L72" t="str">
        <x:f>IF(K72="","",A72-K72)</x:f>
      </x:c>
      <x:c r="M72" t="str">
        <x:f>IF(L72="","",IF(N72="Yes","Strategic Legacy",IF(L72&lt;=90,"Active",IF(L72&lt;=180,"Monitor",IF(L72&lt;=365,"Slow-Moving",IF(L72&lt;=730,"Excess","Obsolete"))))))</x:f>
      </x:c>
    </x:row>
    <x:row r="73">
      <x:c r="A73" s="40"/>
      <x:c r="I73" s="42"/>
      <x:c r="J73" s="42" t="str">
        <x:f>IF(OR(H73="",I73=""),"",H73*I73)</x:f>
      </x:c>
      <x:c r="K73" s="40"/>
      <x:c r="L73" t="str">
        <x:f>IF(K73="","",A73-K73)</x:f>
      </x:c>
      <x:c r="M73" t="str">
        <x:f>IF(L73="","",IF(N73="Yes","Strategic Legacy",IF(L73&lt;=90,"Active",IF(L73&lt;=180,"Monitor",IF(L73&lt;=365,"Slow-Moving",IF(L73&lt;=730,"Excess","Obsolete"))))))</x:f>
      </x:c>
    </x:row>
    <x:row r="74">
      <x:c r="A74" s="40"/>
      <x:c r="I74" s="42"/>
      <x:c r="J74" s="42" t="str">
        <x:f>IF(OR(H74="",I74=""),"",H74*I74)</x:f>
      </x:c>
      <x:c r="K74" s="40"/>
      <x:c r="L74" t="str">
        <x:f>IF(K74="","",A74-K74)</x:f>
      </x:c>
      <x:c r="M74" t="str">
        <x:f>IF(L74="","",IF(N74="Yes","Strategic Legacy",IF(L74&lt;=90,"Active",IF(L74&lt;=180,"Monitor",IF(L74&lt;=365,"Slow-Moving",IF(L74&lt;=730,"Excess","Obsolete"))))))</x:f>
      </x:c>
    </x:row>
    <x:row r="75">
      <x:c r="A75" s="40"/>
      <x:c r="I75" s="42"/>
      <x:c r="J75" s="42" t="str">
        <x:f>IF(OR(H75="",I75=""),"",H75*I75)</x:f>
      </x:c>
      <x:c r="K75" s="40"/>
      <x:c r="L75" t="str">
        <x:f>IF(K75="","",A75-K75)</x:f>
      </x:c>
      <x:c r="M75" t="str">
        <x:f>IF(L75="","",IF(N75="Yes","Strategic Legacy",IF(L75&lt;=90,"Active",IF(L75&lt;=180,"Monitor",IF(L75&lt;=365,"Slow-Moving",IF(L75&lt;=730,"Excess","Obsolete"))))))</x:f>
      </x:c>
    </x:row>
    <x:row r="76">
      <x:c r="A76" s="40"/>
      <x:c r="I76" s="42"/>
      <x:c r="J76" s="42" t="str">
        <x:f>IF(OR(H76="",I76=""),"",H76*I76)</x:f>
      </x:c>
      <x:c r="K76" s="40"/>
      <x:c r="L76" t="str">
        <x:f>IF(K76="","",A76-K76)</x:f>
      </x:c>
      <x:c r="M76" t="str">
        <x:f>IF(L76="","",IF(N76="Yes","Strategic Legacy",IF(L76&lt;=90,"Active",IF(L76&lt;=180,"Monitor",IF(L76&lt;=365,"Slow-Moving",IF(L76&lt;=730,"Excess","Obsolete"))))))</x:f>
      </x:c>
    </x:row>
    <x:row r="77">
      <x:c r="A77" s="40"/>
      <x:c r="I77" s="42"/>
      <x:c r="J77" s="42" t="str">
        <x:f>IF(OR(H77="",I77=""),"",H77*I77)</x:f>
      </x:c>
      <x:c r="K77" s="40"/>
      <x:c r="L77" t="str">
        <x:f>IF(K77="","",A77-K77)</x:f>
      </x:c>
      <x:c r="M77" t="str">
        <x:f>IF(L77="","",IF(N77="Yes","Strategic Legacy",IF(L77&lt;=90,"Active",IF(L77&lt;=180,"Monitor",IF(L77&lt;=365,"Slow-Moving",IF(L77&lt;=730,"Excess","Obsolete"))))))</x:f>
      </x:c>
    </x:row>
    <x:row r="78">
      <x:c r="A78" s="40"/>
      <x:c r="I78" s="42"/>
      <x:c r="J78" s="42" t="str">
        <x:f>IF(OR(H78="",I78=""),"",H78*I78)</x:f>
      </x:c>
      <x:c r="K78" s="40"/>
      <x:c r="L78" t="str">
        <x:f>IF(K78="","",A78-K78)</x:f>
      </x:c>
      <x:c r="M78" t="str">
        <x:f>IF(L78="","",IF(N78="Yes","Strategic Legacy",IF(L78&lt;=90,"Active",IF(L78&lt;=180,"Monitor",IF(L78&lt;=365,"Slow-Moving",IF(L78&lt;=730,"Excess","Obsolete"))))))</x:f>
      </x:c>
    </x:row>
    <x:row r="79">
      <x:c r="A79" s="40"/>
      <x:c r="I79" s="42"/>
      <x:c r="J79" s="42" t="str">
        <x:f>IF(OR(H79="",I79=""),"",H79*I79)</x:f>
      </x:c>
      <x:c r="K79" s="40"/>
      <x:c r="L79" t="str">
        <x:f>IF(K79="","",A79-K79)</x:f>
      </x:c>
      <x:c r="M79" t="str">
        <x:f>IF(L79="","",IF(N79="Yes","Strategic Legacy",IF(L79&lt;=90,"Active",IF(L79&lt;=180,"Monitor",IF(L79&lt;=365,"Slow-Moving",IF(L79&lt;=730,"Excess","Obsolete"))))))</x:f>
      </x:c>
    </x:row>
    <x:row r="80">
      <x:c r="A80" s="40"/>
      <x:c r="I80" s="42"/>
      <x:c r="J80" s="42" t="str">
        <x:f>IF(OR(H80="",I80=""),"",H80*I80)</x:f>
      </x:c>
      <x:c r="K80" s="40"/>
      <x:c r="L80" t="str">
        <x:f>IF(K80="","",A80-K80)</x:f>
      </x:c>
      <x:c r="M80" t="str">
        <x:f>IF(L80="","",IF(N80="Yes","Strategic Legacy",IF(L80&lt;=90,"Active",IF(L80&lt;=180,"Monitor",IF(L80&lt;=365,"Slow-Moving",IF(L80&lt;=730,"Excess","Obsolete"))))))</x:f>
      </x:c>
    </x:row>
    <x:row r="81">
      <x:c r="A81" s="40"/>
      <x:c r="I81" s="42"/>
      <x:c r="J81" s="42" t="str">
        <x:f>IF(OR(H81="",I81=""),"",H81*I81)</x:f>
      </x:c>
      <x:c r="K81" s="40"/>
      <x:c r="L81" t="str">
        <x:f>IF(K81="","",A81-K81)</x:f>
      </x:c>
      <x:c r="M81" t="str">
        <x:f>IF(L81="","",IF(N81="Yes","Strategic Legacy",IF(L81&lt;=90,"Active",IF(L81&lt;=180,"Monitor",IF(L81&lt;=365,"Slow-Moving",IF(L81&lt;=730,"Excess","Obsolete"))))))</x:f>
      </x:c>
    </x:row>
    <x:row r="82">
      <x:c r="A82" s="40"/>
      <x:c r="I82" s="42"/>
      <x:c r="J82" s="42" t="str">
        <x:f>IF(OR(H82="",I82=""),"",H82*I82)</x:f>
      </x:c>
      <x:c r="K82" s="40"/>
      <x:c r="L82" t="str">
        <x:f>IF(K82="","",A82-K82)</x:f>
      </x:c>
      <x:c r="M82" t="str">
        <x:f>IF(L82="","",IF(N82="Yes","Strategic Legacy",IF(L82&lt;=90,"Active",IF(L82&lt;=180,"Monitor",IF(L82&lt;=365,"Slow-Moving",IF(L82&lt;=730,"Excess","Obsolete"))))))</x:f>
      </x:c>
    </x:row>
    <x:row r="83">
      <x:c r="A83" s="40"/>
      <x:c r="I83" s="42"/>
      <x:c r="J83" s="42" t="str">
        <x:f>IF(OR(H83="",I83=""),"",H83*I83)</x:f>
      </x:c>
      <x:c r="K83" s="40"/>
      <x:c r="L83" t="str">
        <x:f>IF(K83="","",A83-K83)</x:f>
      </x:c>
      <x:c r="M83" t="str">
        <x:f>IF(L83="","",IF(N83="Yes","Strategic Legacy",IF(L83&lt;=90,"Active",IF(L83&lt;=180,"Monitor",IF(L83&lt;=365,"Slow-Moving",IF(L83&lt;=730,"Excess","Obsolete"))))))</x:f>
      </x:c>
    </x:row>
    <x:row r="84">
      <x:c r="A84" s="40"/>
      <x:c r="I84" s="42"/>
      <x:c r="J84" s="42" t="str">
        <x:f>IF(OR(H84="",I84=""),"",H84*I84)</x:f>
      </x:c>
      <x:c r="K84" s="40"/>
      <x:c r="L84" t="str">
        <x:f>IF(K84="","",A84-K84)</x:f>
      </x:c>
      <x:c r="M84" t="str">
        <x:f>IF(L84="","",IF(N84="Yes","Strategic Legacy",IF(L84&lt;=90,"Active",IF(L84&lt;=180,"Monitor",IF(L84&lt;=365,"Slow-Moving",IF(L84&lt;=730,"Excess","Obsolete"))))))</x:f>
      </x:c>
    </x:row>
    <x:row r="85">
      <x:c r="A85" s="40"/>
      <x:c r="I85" s="42"/>
      <x:c r="J85" s="42" t="str">
        <x:f>IF(OR(H85="",I85=""),"",H85*I85)</x:f>
      </x:c>
      <x:c r="K85" s="40"/>
      <x:c r="L85" t="str">
        <x:f>IF(K85="","",A85-K85)</x:f>
      </x:c>
      <x:c r="M85" t="str">
        <x:f>IF(L85="","",IF(N85="Yes","Strategic Legacy",IF(L85&lt;=90,"Active",IF(L85&lt;=180,"Monitor",IF(L85&lt;=365,"Slow-Moving",IF(L85&lt;=730,"Excess","Obsolete"))))))</x:f>
      </x:c>
    </x:row>
    <x:row r="86">
      <x:c r="A86" s="40"/>
      <x:c r="I86" s="42"/>
      <x:c r="J86" s="42" t="str">
        <x:f>IF(OR(H86="",I86=""),"",H86*I86)</x:f>
      </x:c>
      <x:c r="K86" s="40"/>
      <x:c r="L86" t="str">
        <x:f>IF(K86="","",A86-K86)</x:f>
      </x:c>
      <x:c r="M86" t="str">
        <x:f>IF(L86="","",IF(N86="Yes","Strategic Legacy",IF(L86&lt;=90,"Active",IF(L86&lt;=180,"Monitor",IF(L86&lt;=365,"Slow-Moving",IF(L86&lt;=730,"Excess","Obsolete"))))))</x:f>
      </x:c>
    </x:row>
    <x:row r="87">
      <x:c r="A87" s="40"/>
      <x:c r="I87" s="42"/>
      <x:c r="J87" s="42" t="str">
        <x:f>IF(OR(H87="",I87=""),"",H87*I87)</x:f>
      </x:c>
      <x:c r="K87" s="40"/>
      <x:c r="L87" t="str">
        <x:f>IF(K87="","",A87-K87)</x:f>
      </x:c>
      <x:c r="M87" t="str">
        <x:f>IF(L87="","",IF(N87="Yes","Strategic Legacy",IF(L87&lt;=90,"Active",IF(L87&lt;=180,"Monitor",IF(L87&lt;=365,"Slow-Moving",IF(L87&lt;=730,"Excess","Obsolete"))))))</x:f>
      </x:c>
    </x:row>
    <x:row r="88">
      <x:c r="A88" s="40"/>
      <x:c r="I88" s="42"/>
      <x:c r="J88" s="42" t="str">
        <x:f>IF(OR(H88="",I88=""),"",H88*I88)</x:f>
      </x:c>
      <x:c r="K88" s="40"/>
      <x:c r="L88" t="str">
        <x:f>IF(K88="","",A88-K88)</x:f>
      </x:c>
      <x:c r="M88" t="str">
        <x:f>IF(L88="","",IF(N88="Yes","Strategic Legacy",IF(L88&lt;=90,"Active",IF(L88&lt;=180,"Monitor",IF(L88&lt;=365,"Slow-Moving",IF(L88&lt;=730,"Excess","Obsolete"))))))</x:f>
      </x:c>
    </x:row>
    <x:row r="89">
      <x:c r="A89" s="40"/>
      <x:c r="I89" s="42"/>
      <x:c r="J89" s="42" t="str">
        <x:f>IF(OR(H89="",I89=""),"",H89*I89)</x:f>
      </x:c>
      <x:c r="K89" s="40"/>
      <x:c r="L89" t="str">
        <x:f>IF(K89="","",A89-K89)</x:f>
      </x:c>
      <x:c r="M89" t="str">
        <x:f>IF(L89="","",IF(N89="Yes","Strategic Legacy",IF(L89&lt;=90,"Active",IF(L89&lt;=180,"Monitor",IF(L89&lt;=365,"Slow-Moving",IF(L89&lt;=730,"Excess","Obsolete"))))))</x:f>
      </x:c>
    </x:row>
    <x:row r="90">
      <x:c r="A90" s="40"/>
      <x:c r="I90" s="42"/>
      <x:c r="J90" s="42" t="str">
        <x:f>IF(OR(H90="",I90=""),"",H90*I90)</x:f>
      </x:c>
      <x:c r="K90" s="40"/>
      <x:c r="L90" t="str">
        <x:f>IF(K90="","",A90-K90)</x:f>
      </x:c>
      <x:c r="M90" t="str">
        <x:f>IF(L90="","",IF(N90="Yes","Strategic Legacy",IF(L90&lt;=90,"Active",IF(L90&lt;=180,"Monitor",IF(L90&lt;=365,"Slow-Moving",IF(L90&lt;=730,"Excess","Obsolete"))))))</x:f>
      </x:c>
    </x:row>
    <x:row r="91">
      <x:c r="A91" s="40"/>
      <x:c r="I91" s="42"/>
      <x:c r="J91" s="42" t="str">
        <x:f>IF(OR(H91="",I91=""),"",H91*I91)</x:f>
      </x:c>
      <x:c r="K91" s="40"/>
      <x:c r="L91" t="str">
        <x:f>IF(K91="","",A91-K91)</x:f>
      </x:c>
      <x:c r="M91" t="str">
        <x:f>IF(L91="","",IF(N91="Yes","Strategic Legacy",IF(L91&lt;=90,"Active",IF(L91&lt;=180,"Monitor",IF(L91&lt;=365,"Slow-Moving",IF(L91&lt;=730,"Excess","Obsolete"))))))</x:f>
      </x:c>
    </x:row>
    <x:row r="92">
      <x:c r="A92" s="40"/>
      <x:c r="I92" s="42"/>
      <x:c r="J92" s="42" t="str">
        <x:f>IF(OR(H92="",I92=""),"",H92*I92)</x:f>
      </x:c>
      <x:c r="K92" s="40"/>
      <x:c r="L92" t="str">
        <x:f>IF(K92="","",A92-K92)</x:f>
      </x:c>
      <x:c r="M92" t="str">
        <x:f>IF(L92="","",IF(N92="Yes","Strategic Legacy",IF(L92&lt;=90,"Active",IF(L92&lt;=180,"Monitor",IF(L92&lt;=365,"Slow-Moving",IF(L92&lt;=730,"Excess","Obsolete"))))))</x:f>
      </x:c>
    </x:row>
    <x:row r="93">
      <x:c r="A93" s="40"/>
      <x:c r="I93" s="42"/>
      <x:c r="J93" s="42" t="str">
        <x:f>IF(OR(H93="",I93=""),"",H93*I93)</x:f>
      </x:c>
      <x:c r="K93" s="40"/>
      <x:c r="L93" t="str">
        <x:f>IF(K93="","",A93-K93)</x:f>
      </x:c>
      <x:c r="M93" t="str">
        <x:f>IF(L93="","",IF(N93="Yes","Strategic Legacy",IF(L93&lt;=90,"Active",IF(L93&lt;=180,"Monitor",IF(L93&lt;=365,"Slow-Moving",IF(L93&lt;=730,"Excess","Obsolete"))))))</x:f>
      </x:c>
    </x:row>
    <x:row r="94">
      <x:c r="A94" s="40"/>
      <x:c r="I94" s="42"/>
      <x:c r="J94" s="42" t="str">
        <x:f>IF(OR(H94="",I94=""),"",H94*I94)</x:f>
      </x:c>
      <x:c r="K94" s="40"/>
      <x:c r="L94" t="str">
        <x:f>IF(K94="","",A94-K94)</x:f>
      </x:c>
      <x:c r="M94" t="str">
        <x:f>IF(L94="","",IF(N94="Yes","Strategic Legacy",IF(L94&lt;=90,"Active",IF(L94&lt;=180,"Monitor",IF(L94&lt;=365,"Slow-Moving",IF(L94&lt;=730,"Excess","Obsolete"))))))</x:f>
      </x:c>
    </x:row>
    <x:row r="95">
      <x:c r="A95" s="40"/>
      <x:c r="I95" s="42"/>
      <x:c r="J95" s="42" t="str">
        <x:f>IF(OR(H95="",I95=""),"",H95*I95)</x:f>
      </x:c>
      <x:c r="K95" s="40"/>
      <x:c r="L95" t="str">
        <x:f>IF(K95="","",A95-K95)</x:f>
      </x:c>
      <x:c r="M95" t="str">
        <x:f>IF(L95="","",IF(N95="Yes","Strategic Legacy",IF(L95&lt;=90,"Active",IF(L95&lt;=180,"Monitor",IF(L95&lt;=365,"Slow-Moving",IF(L95&lt;=730,"Excess","Obsolete"))))))</x:f>
      </x:c>
    </x:row>
    <x:row r="96">
      <x:c r="A96" s="40"/>
      <x:c r="I96" s="42"/>
      <x:c r="J96" s="42" t="str">
        <x:f>IF(OR(H96="",I96=""),"",H96*I96)</x:f>
      </x:c>
      <x:c r="K96" s="40"/>
      <x:c r="L96" t="str">
        <x:f>IF(K96="","",A96-K96)</x:f>
      </x:c>
      <x:c r="M96" t="str">
        <x:f>IF(L96="","",IF(N96="Yes","Strategic Legacy",IF(L96&lt;=90,"Active",IF(L96&lt;=180,"Monitor",IF(L96&lt;=365,"Slow-Moving",IF(L96&lt;=730,"Excess","Obsolete"))))))</x:f>
      </x:c>
    </x:row>
    <x:row r="97">
      <x:c r="A97" s="40"/>
      <x:c r="I97" s="42"/>
      <x:c r="J97" s="42" t="str">
        <x:f>IF(OR(H97="",I97=""),"",H97*I97)</x:f>
      </x:c>
      <x:c r="K97" s="40"/>
      <x:c r="L97" t="str">
        <x:f>IF(K97="","",A97-K97)</x:f>
      </x:c>
      <x:c r="M97" t="str">
        <x:f>IF(L97="","",IF(N97="Yes","Strategic Legacy",IF(L97&lt;=90,"Active",IF(L97&lt;=180,"Monitor",IF(L97&lt;=365,"Slow-Moving",IF(L97&lt;=730,"Excess","Obsolete"))))))</x:f>
      </x:c>
    </x:row>
    <x:row r="98">
      <x:c r="A98" s="40"/>
      <x:c r="I98" s="42"/>
      <x:c r="J98" s="42" t="str">
        <x:f>IF(OR(H98="",I98=""),"",H98*I98)</x:f>
      </x:c>
      <x:c r="K98" s="40"/>
      <x:c r="L98" t="str">
        <x:f>IF(K98="","",A98-K98)</x:f>
      </x:c>
      <x:c r="M98" t="str">
        <x:f>IF(L98="","",IF(N98="Yes","Strategic Legacy",IF(L98&lt;=90,"Active",IF(L98&lt;=180,"Monitor",IF(L98&lt;=365,"Slow-Moving",IF(L98&lt;=730,"Excess","Obsolete"))))))</x:f>
      </x:c>
    </x:row>
    <x:row r="99">
      <x:c r="A99" s="40"/>
      <x:c r="I99" s="42"/>
      <x:c r="J99" s="42" t="str">
        <x:f>IF(OR(H99="",I99=""),"",H99*I99)</x:f>
      </x:c>
      <x:c r="K99" s="40"/>
      <x:c r="L99" t="str">
        <x:f>IF(K99="","",A99-K99)</x:f>
      </x:c>
      <x:c r="M99" t="str">
        <x:f>IF(L99="","",IF(N99="Yes","Strategic Legacy",IF(L99&lt;=90,"Active",IF(L99&lt;=180,"Monitor",IF(L99&lt;=365,"Slow-Moving",IF(L99&lt;=730,"Excess","Obsolete"))))))</x:f>
      </x:c>
    </x:row>
    <x:row r="100">
      <x:c r="A100" s="40"/>
      <x:c r="I100" s="42"/>
      <x:c r="J100" s="42" t="str">
        <x:f>IF(OR(H100="",I100=""),"",H100*I100)</x:f>
      </x:c>
      <x:c r="K100" s="40"/>
      <x:c r="L100" t="str">
        <x:f>IF(K100="","",A100-K100)</x:f>
      </x:c>
      <x:c r="M100" t="str">
        <x:f>IF(L100="","",IF(N100="Yes","Strategic Legacy",IF(L100&lt;=90,"Active",IF(L100&lt;=180,"Monitor",IF(L100&lt;=365,"Slow-Moving",IF(L100&lt;=730,"Excess","Obsolete"))))))</x:f>
      </x:c>
    </x:row>
    <x:row r="101">
      <x:c r="A101" s="40"/>
      <x:c r="I101" s="42"/>
      <x:c r="J101" s="42" t="str">
        <x:f>IF(OR(H101="",I101=""),"",H101*I101)</x:f>
      </x:c>
      <x:c r="K101" s="40"/>
      <x:c r="L101" t="str">
        <x:f>IF(K101="","",A101-K101)</x:f>
      </x:c>
      <x:c r="M101" t="str">
        <x:f>IF(L101="","",IF(N101="Yes","Strategic Legacy",IF(L101&lt;=90,"Active",IF(L101&lt;=180,"Monitor",IF(L101&lt;=365,"Slow-Moving",IF(L101&lt;=730,"Excess","Obsolete"))))))</x:f>
      </x:c>
    </x:row>
    <x:row r="102">
      <x:c r="A102" s="40"/>
      <x:c r="I102" s="42"/>
      <x:c r="J102" s="42" t="str">
        <x:f>IF(OR(H102="",I102=""),"",H102*I102)</x:f>
      </x:c>
      <x:c r="K102" s="40"/>
      <x:c r="L102" t="str">
        <x:f>IF(K102="","",A102-K102)</x:f>
      </x:c>
      <x:c r="M102" t="str">
        <x:f>IF(L102="","",IF(N102="Yes","Strategic Legacy",IF(L102&lt;=90,"Active",IF(L102&lt;=180,"Monitor",IF(L102&lt;=365,"Slow-Moving",IF(L102&lt;=730,"Excess","Obsolete"))))))</x:f>
      </x:c>
    </x:row>
    <x:row r="103">
      <x:c r="A103" s="40"/>
      <x:c r="I103" s="42"/>
      <x:c r="J103" s="42" t="str">
        <x:f>IF(OR(H103="",I103=""),"",H103*I103)</x:f>
      </x:c>
      <x:c r="K103" s="40"/>
      <x:c r="L103" t="str">
        <x:f>IF(K103="","",A103-K103)</x:f>
      </x:c>
      <x:c r="M103" t="str">
        <x:f>IF(L103="","",IF(N103="Yes","Strategic Legacy",IF(L103&lt;=90,"Active",IF(L103&lt;=180,"Monitor",IF(L103&lt;=365,"Slow-Moving",IF(L103&lt;=730,"Excess","Obsolete"))))))</x:f>
      </x:c>
    </x:row>
    <x:row r="104">
      <x:c r="A104" s="40"/>
      <x:c r="I104" s="42"/>
      <x:c r="J104" s="42" t="str">
        <x:f>IF(OR(H104="",I104=""),"",H104*I104)</x:f>
      </x:c>
      <x:c r="K104" s="40"/>
      <x:c r="L104" t="str">
        <x:f>IF(K104="","",A104-K104)</x:f>
      </x:c>
      <x:c r="M104" t="str">
        <x:f>IF(L104="","",IF(N104="Yes","Strategic Legacy",IF(L104&lt;=90,"Active",IF(L104&lt;=180,"Monitor",IF(L104&lt;=365,"Slow-Moving",IF(L104&lt;=730,"Excess","Obsolete"))))))</x:f>
      </x:c>
    </x:row>
    <x:row r="105">
      <x:c r="A105" s="40"/>
      <x:c r="I105" s="42"/>
      <x:c r="J105" s="42" t="str">
        <x:f>IF(OR(H105="",I105=""),"",H105*I105)</x:f>
      </x:c>
      <x:c r="K105" s="40"/>
      <x:c r="L105" t="str">
        <x:f>IF(K105="","",A105-K105)</x:f>
      </x:c>
      <x:c r="M105" t="str">
        <x:f>IF(L105="","",IF(N105="Yes","Strategic Legacy",IF(L105&lt;=90,"Active",IF(L105&lt;=180,"Monitor",IF(L105&lt;=365,"Slow-Moving",IF(L105&lt;=730,"Excess","Obsolete"))))))</x:f>
      </x:c>
    </x:row>
    <x:row r="106">
      <x:c r="A106" s="40"/>
      <x:c r="I106" s="42"/>
      <x:c r="J106" s="42" t="str">
        <x:f>IF(OR(H106="",I106=""),"",H106*I106)</x:f>
      </x:c>
      <x:c r="K106" s="40"/>
      <x:c r="L106" t="str">
        <x:f>IF(K106="","",A106-K106)</x:f>
      </x:c>
      <x:c r="M106" t="str">
        <x:f>IF(L106="","",IF(N106="Yes","Strategic Legacy",IF(L106&lt;=90,"Active",IF(L106&lt;=180,"Monitor",IF(L106&lt;=365,"Slow-Moving",IF(L106&lt;=730,"Excess","Obsolete"))))))</x:f>
      </x:c>
    </x:row>
    <x:row r="107">
      <x:c r="A107" s="40"/>
      <x:c r="I107" s="42"/>
      <x:c r="J107" s="42" t="str">
        <x:f>IF(OR(H107="",I107=""),"",H107*I107)</x:f>
      </x:c>
      <x:c r="K107" s="40"/>
      <x:c r="L107" t="str">
        <x:f>IF(K107="","",A107-K107)</x:f>
      </x:c>
      <x:c r="M107" t="str">
        <x:f>IF(L107="","",IF(N107="Yes","Strategic Legacy",IF(L107&lt;=90,"Active",IF(L107&lt;=180,"Monitor",IF(L107&lt;=365,"Slow-Moving",IF(L107&lt;=730,"Excess","Obsolete"))))))</x:f>
      </x:c>
    </x:row>
    <x:row r="108">
      <x:c r="A108" s="40"/>
      <x:c r="I108" s="42"/>
      <x:c r="J108" s="42" t="str">
        <x:f>IF(OR(H108="",I108=""),"",H108*I108)</x:f>
      </x:c>
      <x:c r="K108" s="40"/>
      <x:c r="L108" t="str">
        <x:f>IF(K108="","",A108-K108)</x:f>
      </x:c>
      <x:c r="M108" t="str">
        <x:f>IF(L108="","",IF(N108="Yes","Strategic Legacy",IF(L108&lt;=90,"Active",IF(L108&lt;=180,"Monitor",IF(L108&lt;=365,"Slow-Moving",IF(L108&lt;=730,"Excess","Obsolete"))))))</x:f>
      </x:c>
    </x:row>
    <x:row r="109">
      <x:c r="A109" s="40"/>
      <x:c r="I109" s="42"/>
      <x:c r="J109" s="42" t="str">
        <x:f>IF(OR(H109="",I109=""),"",H109*I109)</x:f>
      </x:c>
      <x:c r="K109" s="40"/>
      <x:c r="L109" t="str">
        <x:f>IF(K109="","",A109-K109)</x:f>
      </x:c>
      <x:c r="M109" t="str">
        <x:f>IF(L109="","",IF(N109="Yes","Strategic Legacy",IF(L109&lt;=90,"Active",IF(L109&lt;=180,"Monitor",IF(L109&lt;=365,"Slow-Moving",IF(L109&lt;=730,"Excess","Obsolete"))))))</x:f>
      </x:c>
    </x:row>
    <x:row r="110">
      <x:c r="A110" s="40"/>
      <x:c r="I110" s="42"/>
      <x:c r="J110" s="42" t="str">
        <x:f>IF(OR(H110="",I110=""),"",H110*I110)</x:f>
      </x:c>
      <x:c r="K110" s="40"/>
      <x:c r="L110" t="str">
        <x:f>IF(K110="","",A110-K110)</x:f>
      </x:c>
      <x:c r="M110" t="str">
        <x:f>IF(L110="","",IF(N110="Yes","Strategic Legacy",IF(L110&lt;=90,"Active",IF(L110&lt;=180,"Monitor",IF(L110&lt;=365,"Slow-Moving",IF(L110&lt;=730,"Excess","Obsolete"))))))</x:f>
      </x:c>
    </x:row>
    <x:row r="111">
      <x:c r="A111" s="40"/>
      <x:c r="I111" s="42"/>
      <x:c r="J111" s="42" t="str">
        <x:f>IF(OR(H111="",I111=""),"",H111*I111)</x:f>
      </x:c>
      <x:c r="K111" s="40"/>
      <x:c r="L111" t="str">
        <x:f>IF(K111="","",A111-K111)</x:f>
      </x:c>
      <x:c r="M111" t="str">
        <x:f>IF(L111="","",IF(N111="Yes","Strategic Legacy",IF(L111&lt;=90,"Active",IF(L111&lt;=180,"Monitor",IF(L111&lt;=365,"Slow-Moving",IF(L111&lt;=730,"Excess","Obsolete"))))))</x:f>
      </x:c>
    </x:row>
    <x:row r="112">
      <x:c r="A112" s="40"/>
      <x:c r="I112" s="42"/>
      <x:c r="J112" s="42" t="str">
        <x:f>IF(OR(H112="",I112=""),"",H112*I112)</x:f>
      </x:c>
      <x:c r="K112" s="40"/>
      <x:c r="L112" t="str">
        <x:f>IF(K112="","",A112-K112)</x:f>
      </x:c>
      <x:c r="M112" t="str">
        <x:f>IF(L112="","",IF(N112="Yes","Strategic Legacy",IF(L112&lt;=90,"Active",IF(L112&lt;=180,"Monitor",IF(L112&lt;=365,"Slow-Moving",IF(L112&lt;=730,"Excess","Obsolete"))))))</x:f>
      </x:c>
    </x:row>
    <x:row r="113">
      <x:c r="A113" s="40"/>
      <x:c r="I113" s="42"/>
      <x:c r="J113" s="42" t="str">
        <x:f>IF(OR(H113="",I113=""),"",H113*I113)</x:f>
      </x:c>
      <x:c r="K113" s="40"/>
      <x:c r="L113" t="str">
        <x:f>IF(K113="","",A113-K113)</x:f>
      </x:c>
      <x:c r="M113" t="str">
        <x:f>IF(L113="","",IF(N113="Yes","Strategic Legacy",IF(L113&lt;=90,"Active",IF(L113&lt;=180,"Monitor",IF(L113&lt;=365,"Slow-Moving",IF(L113&lt;=730,"Excess","Obsolete"))))))</x:f>
      </x:c>
    </x:row>
    <x:row r="114">
      <x:c r="A114" s="40"/>
      <x:c r="I114" s="42"/>
      <x:c r="J114" s="42" t="str">
        <x:f>IF(OR(H114="",I114=""),"",H114*I114)</x:f>
      </x:c>
      <x:c r="K114" s="40"/>
      <x:c r="L114" t="str">
        <x:f>IF(K114="","",A114-K114)</x:f>
      </x:c>
      <x:c r="M114" t="str">
        <x:f>IF(L114="","",IF(N114="Yes","Strategic Legacy",IF(L114&lt;=90,"Active",IF(L114&lt;=180,"Monitor",IF(L114&lt;=365,"Slow-Moving",IF(L114&lt;=730,"Excess","Obsolete"))))))</x:f>
      </x:c>
    </x:row>
    <x:row r="115">
      <x:c r="A115" s="40"/>
      <x:c r="I115" s="42"/>
      <x:c r="J115" s="42" t="str">
        <x:f>IF(OR(H115="",I115=""),"",H115*I115)</x:f>
      </x:c>
      <x:c r="K115" s="40"/>
      <x:c r="L115" t="str">
        <x:f>IF(K115="","",A115-K115)</x:f>
      </x:c>
      <x:c r="M115" t="str">
        <x:f>IF(L115="","",IF(N115="Yes","Strategic Legacy",IF(L115&lt;=90,"Active",IF(L115&lt;=180,"Monitor",IF(L115&lt;=365,"Slow-Moving",IF(L115&lt;=730,"Excess","Obsolete"))))))</x:f>
      </x:c>
    </x:row>
    <x:row r="116">
      <x:c r="A116" s="40"/>
      <x:c r="I116" s="42"/>
      <x:c r="J116" s="42" t="str">
        <x:f>IF(OR(H116="",I116=""),"",H116*I116)</x:f>
      </x:c>
      <x:c r="K116" s="40"/>
      <x:c r="L116" t="str">
        <x:f>IF(K116="","",A116-K116)</x:f>
      </x:c>
      <x:c r="M116" t="str">
        <x:f>IF(L116="","",IF(N116="Yes","Strategic Legacy",IF(L116&lt;=90,"Active",IF(L116&lt;=180,"Monitor",IF(L116&lt;=365,"Slow-Moving",IF(L116&lt;=730,"Excess","Obsolete"))))))</x:f>
      </x:c>
    </x:row>
    <x:row r="117">
      <x:c r="A117" s="40"/>
      <x:c r="I117" s="42"/>
      <x:c r="J117" s="42" t="str">
        <x:f>IF(OR(H117="",I117=""),"",H117*I117)</x:f>
      </x:c>
      <x:c r="K117" s="40"/>
      <x:c r="L117" t="str">
        <x:f>IF(K117="","",A117-K117)</x:f>
      </x:c>
      <x:c r="M117" t="str">
        <x:f>IF(L117="","",IF(N117="Yes","Strategic Legacy",IF(L117&lt;=90,"Active",IF(L117&lt;=180,"Monitor",IF(L117&lt;=365,"Slow-Moving",IF(L117&lt;=730,"Excess","Obsolete"))))))</x:f>
      </x:c>
    </x:row>
    <x:row r="118">
      <x:c r="A118" s="40"/>
      <x:c r="I118" s="42"/>
      <x:c r="J118" s="42" t="str">
        <x:f>IF(OR(H118="",I118=""),"",H118*I118)</x:f>
      </x:c>
      <x:c r="K118" s="40"/>
      <x:c r="L118" t="str">
        <x:f>IF(K118="","",A118-K118)</x:f>
      </x:c>
      <x:c r="M118" t="str">
        <x:f>IF(L118="","",IF(N118="Yes","Strategic Legacy",IF(L118&lt;=90,"Active",IF(L118&lt;=180,"Monitor",IF(L118&lt;=365,"Slow-Moving",IF(L118&lt;=730,"Excess","Obsolete"))))))</x:f>
      </x:c>
    </x:row>
    <x:row r="119">
      <x:c r="A119" s="40"/>
      <x:c r="I119" s="42"/>
      <x:c r="J119" s="42" t="str">
        <x:f>IF(OR(H119="",I119=""),"",H119*I119)</x:f>
      </x:c>
      <x:c r="K119" s="40"/>
      <x:c r="L119" t="str">
        <x:f>IF(K119="","",A119-K119)</x:f>
      </x:c>
      <x:c r="M119" t="str">
        <x:f>IF(L119="","",IF(N119="Yes","Strategic Legacy",IF(L119&lt;=90,"Active",IF(L119&lt;=180,"Monitor",IF(L119&lt;=365,"Slow-Moving",IF(L119&lt;=730,"Excess","Obsolete"))))))</x:f>
      </x:c>
    </x:row>
    <x:row r="120">
      <x:c r="A120" s="40"/>
      <x:c r="I120" s="42"/>
      <x:c r="J120" s="42" t="str">
        <x:f>IF(OR(H120="",I120=""),"",H120*I120)</x:f>
      </x:c>
      <x:c r="K120" s="40"/>
      <x:c r="L120" t="str">
        <x:f>IF(K120="","",A120-K120)</x:f>
      </x:c>
      <x:c r="M120" t="str">
        <x:f>IF(L120="","",IF(N120="Yes","Strategic Legacy",IF(L120&lt;=90,"Active",IF(L120&lt;=180,"Monitor",IF(L120&lt;=365,"Slow-Moving",IF(L120&lt;=730,"Excess","Obsolete"))))))</x:f>
      </x:c>
    </x:row>
    <x:row r="121">
      <x:c r="A121" s="40"/>
      <x:c r="I121" s="42"/>
      <x:c r="J121" s="42" t="str">
        <x:f>IF(OR(H121="",I121=""),"",H121*I121)</x:f>
      </x:c>
      <x:c r="K121" s="40"/>
      <x:c r="L121" t="str">
        <x:f>IF(K121="","",A121-K121)</x:f>
      </x:c>
      <x:c r="M121" t="str">
        <x:f>IF(L121="","",IF(N121="Yes","Strategic Legacy",IF(L121&lt;=90,"Active",IF(L121&lt;=180,"Monitor",IF(L121&lt;=365,"Slow-Moving",IF(L121&lt;=730,"Excess","Obsolete"))))))</x:f>
      </x:c>
    </x:row>
    <x:row r="122">
      <x:c r="A122" s="40"/>
      <x:c r="I122" s="42"/>
      <x:c r="J122" s="42" t="str">
        <x:f>IF(OR(H122="",I122=""),"",H122*I122)</x:f>
      </x:c>
      <x:c r="K122" s="40"/>
      <x:c r="L122" t="str">
        <x:f>IF(K122="","",A122-K122)</x:f>
      </x:c>
      <x:c r="M122" t="str">
        <x:f>IF(L122="","",IF(N122="Yes","Strategic Legacy",IF(L122&lt;=90,"Active",IF(L122&lt;=180,"Monitor",IF(L122&lt;=365,"Slow-Moving",IF(L122&lt;=730,"Excess","Obsolete"))))))</x:f>
      </x:c>
    </x:row>
    <x:row r="123">
      <x:c r="A123" s="40"/>
      <x:c r="I123" s="42"/>
      <x:c r="J123" s="42" t="str">
        <x:f>IF(OR(H123="",I123=""),"",H123*I123)</x:f>
      </x:c>
      <x:c r="K123" s="40"/>
      <x:c r="L123" t="str">
        <x:f>IF(K123="","",A123-K123)</x:f>
      </x:c>
      <x:c r="M123" t="str">
        <x:f>IF(L123="","",IF(N123="Yes","Strategic Legacy",IF(L123&lt;=90,"Active",IF(L123&lt;=180,"Monitor",IF(L123&lt;=365,"Slow-Moving",IF(L123&lt;=730,"Excess","Obsolete"))))))</x:f>
      </x:c>
    </x:row>
    <x:row r="124">
      <x:c r="A124" s="40"/>
      <x:c r="I124" s="42"/>
      <x:c r="J124" s="42" t="str">
        <x:f>IF(OR(H124="",I124=""),"",H124*I124)</x:f>
      </x:c>
      <x:c r="K124" s="40"/>
      <x:c r="L124" t="str">
        <x:f>IF(K124="","",A124-K124)</x:f>
      </x:c>
      <x:c r="M124" t="str">
        <x:f>IF(L124="","",IF(N124="Yes","Strategic Legacy",IF(L124&lt;=90,"Active",IF(L124&lt;=180,"Monitor",IF(L124&lt;=365,"Slow-Moving",IF(L124&lt;=730,"Excess","Obsolete"))))))</x:f>
      </x:c>
    </x:row>
    <x:row r="125">
      <x:c r="A125" s="40"/>
      <x:c r="I125" s="42"/>
      <x:c r="J125" s="42" t="str">
        <x:f>IF(OR(H125="",I125=""),"",H125*I125)</x:f>
      </x:c>
      <x:c r="K125" s="40"/>
      <x:c r="L125" t="str">
        <x:f>IF(K125="","",A125-K125)</x:f>
      </x:c>
      <x:c r="M125" t="str">
        <x:f>IF(L125="","",IF(N125="Yes","Strategic Legacy",IF(L125&lt;=90,"Active",IF(L125&lt;=180,"Monitor",IF(L125&lt;=365,"Slow-Moving",IF(L125&lt;=730,"Excess","Obsolete"))))))</x:f>
      </x:c>
    </x:row>
    <x:row r="126">
      <x:c r="A126" s="40"/>
      <x:c r="I126" s="42"/>
      <x:c r="J126" s="42" t="str">
        <x:f>IF(OR(H126="",I126=""),"",H126*I126)</x:f>
      </x:c>
      <x:c r="K126" s="40"/>
      <x:c r="L126" t="str">
        <x:f>IF(K126="","",A126-K126)</x:f>
      </x:c>
      <x:c r="M126" t="str">
        <x:f>IF(L126="","",IF(N126="Yes","Strategic Legacy",IF(L126&lt;=90,"Active",IF(L126&lt;=180,"Monitor",IF(L126&lt;=365,"Slow-Moving",IF(L126&lt;=730,"Excess","Obsolete"))))))</x:f>
      </x:c>
    </x:row>
    <x:row r="127">
      <x:c r="A127" s="40"/>
      <x:c r="I127" s="42"/>
      <x:c r="J127" s="42" t="str">
        <x:f>IF(OR(H127="",I127=""),"",H127*I127)</x:f>
      </x:c>
      <x:c r="K127" s="40"/>
      <x:c r="L127" t="str">
        <x:f>IF(K127="","",A127-K127)</x:f>
      </x:c>
      <x:c r="M127" t="str">
        <x:f>IF(L127="","",IF(N127="Yes","Strategic Legacy",IF(L127&lt;=90,"Active",IF(L127&lt;=180,"Monitor",IF(L127&lt;=365,"Slow-Moving",IF(L127&lt;=730,"Excess","Obsolete"))))))</x:f>
      </x:c>
    </x:row>
    <x:row r="128">
      <x:c r="A128" s="40"/>
      <x:c r="I128" s="42"/>
      <x:c r="J128" s="42" t="str">
        <x:f>IF(OR(H128="",I128=""),"",H128*I128)</x:f>
      </x:c>
      <x:c r="K128" s="40"/>
      <x:c r="L128" t="str">
        <x:f>IF(K128="","",A128-K128)</x:f>
      </x:c>
      <x:c r="M128" t="str">
        <x:f>IF(L128="","",IF(N128="Yes","Strategic Legacy",IF(L128&lt;=90,"Active",IF(L128&lt;=180,"Monitor",IF(L128&lt;=365,"Slow-Moving",IF(L128&lt;=730,"Excess","Obsolete"))))))</x:f>
      </x:c>
    </x:row>
    <x:row r="129">
      <x:c r="A129" s="40"/>
      <x:c r="I129" s="42"/>
      <x:c r="J129" s="42" t="str">
        <x:f>IF(OR(H129="",I129=""),"",H129*I129)</x:f>
      </x:c>
      <x:c r="K129" s="40"/>
      <x:c r="L129" t="str">
        <x:f>IF(K129="","",A129-K129)</x:f>
      </x:c>
      <x:c r="M129" t="str">
        <x:f>IF(L129="","",IF(N129="Yes","Strategic Legacy",IF(L129&lt;=90,"Active",IF(L129&lt;=180,"Monitor",IF(L129&lt;=365,"Slow-Moving",IF(L129&lt;=730,"Excess","Obsolete"))))))</x:f>
      </x:c>
    </x:row>
    <x:row r="130">
      <x:c r="A130" s="40"/>
      <x:c r="I130" s="42"/>
      <x:c r="J130" s="42" t="str">
        <x:f>IF(OR(H130="",I130=""),"",H130*I130)</x:f>
      </x:c>
      <x:c r="K130" s="40"/>
      <x:c r="L130" t="str">
        <x:f>IF(K130="","",A130-K130)</x:f>
      </x:c>
      <x:c r="M130" t="str">
        <x:f>IF(L130="","",IF(N130="Yes","Strategic Legacy",IF(L130&lt;=90,"Active",IF(L130&lt;=180,"Monitor",IF(L130&lt;=365,"Slow-Moving",IF(L130&lt;=730,"Excess","Obsolete"))))))</x:f>
      </x:c>
    </x:row>
    <x:row r="131">
      <x:c r="A131" s="40"/>
      <x:c r="I131" s="42"/>
      <x:c r="J131" s="42" t="str">
        <x:f>IF(OR(H131="",I131=""),"",H131*I131)</x:f>
      </x:c>
      <x:c r="K131" s="40"/>
      <x:c r="L131" t="str">
        <x:f>IF(K131="","",A131-K131)</x:f>
      </x:c>
      <x:c r="M131" t="str">
        <x:f>IF(L131="","",IF(N131="Yes","Strategic Legacy",IF(L131&lt;=90,"Active",IF(L131&lt;=180,"Monitor",IF(L131&lt;=365,"Slow-Moving",IF(L131&lt;=730,"Excess","Obsolete"))))))</x:f>
      </x:c>
    </x:row>
    <x:row r="132">
      <x:c r="A132" s="40"/>
      <x:c r="I132" s="42"/>
      <x:c r="J132" s="42" t="str">
        <x:f>IF(OR(H132="",I132=""),"",H132*I132)</x:f>
      </x:c>
      <x:c r="K132" s="40"/>
      <x:c r="L132" t="str">
        <x:f>IF(K132="","",A132-K132)</x:f>
      </x:c>
      <x:c r="M132" t="str">
        <x:f>IF(L132="","",IF(N132="Yes","Strategic Legacy",IF(L132&lt;=90,"Active",IF(L132&lt;=180,"Monitor",IF(L132&lt;=365,"Slow-Moving",IF(L132&lt;=730,"Excess","Obsolete"))))))</x:f>
      </x:c>
    </x:row>
    <x:row r="133">
      <x:c r="A133" s="40"/>
      <x:c r="I133" s="42"/>
      <x:c r="J133" s="42" t="str">
        <x:f>IF(OR(H133="",I133=""),"",H133*I133)</x:f>
      </x:c>
      <x:c r="K133" s="40"/>
      <x:c r="L133" t="str">
        <x:f>IF(K133="","",A133-K133)</x:f>
      </x:c>
      <x:c r="M133" t="str">
        <x:f>IF(L133="","",IF(N133="Yes","Strategic Legacy",IF(L133&lt;=90,"Active",IF(L133&lt;=180,"Monitor",IF(L133&lt;=365,"Slow-Moving",IF(L133&lt;=730,"Excess","Obsolete"))))))</x:f>
      </x:c>
    </x:row>
    <x:row r="134">
      <x:c r="A134" s="40"/>
      <x:c r="I134" s="42"/>
      <x:c r="J134" s="42" t="str">
        <x:f>IF(OR(H134="",I134=""),"",H134*I134)</x:f>
      </x:c>
      <x:c r="K134" s="40"/>
      <x:c r="L134" t="str">
        <x:f>IF(K134="","",A134-K134)</x:f>
      </x:c>
      <x:c r="M134" t="str">
        <x:f>IF(L134="","",IF(N134="Yes","Strategic Legacy",IF(L134&lt;=90,"Active",IF(L134&lt;=180,"Monitor",IF(L134&lt;=365,"Slow-Moving",IF(L134&lt;=730,"Excess","Obsolete"))))))</x:f>
      </x:c>
    </x:row>
    <x:row r="135">
      <x:c r="A135" s="40"/>
      <x:c r="I135" s="42"/>
      <x:c r="J135" s="42" t="str">
        <x:f>IF(OR(H135="",I135=""),"",H135*I135)</x:f>
      </x:c>
      <x:c r="K135" s="40"/>
      <x:c r="L135" t="str">
        <x:f>IF(K135="","",A135-K135)</x:f>
      </x:c>
      <x:c r="M135" t="str">
        <x:f>IF(L135="","",IF(N135="Yes","Strategic Legacy",IF(L135&lt;=90,"Active",IF(L135&lt;=180,"Monitor",IF(L135&lt;=365,"Slow-Moving",IF(L135&lt;=730,"Excess","Obsolete"))))))</x:f>
      </x:c>
    </x:row>
    <x:row r="136">
      <x:c r="A136" s="40"/>
      <x:c r="I136" s="42"/>
      <x:c r="J136" s="42" t="str">
        <x:f>IF(OR(H136="",I136=""),"",H136*I136)</x:f>
      </x:c>
      <x:c r="K136" s="40"/>
      <x:c r="L136" t="str">
        <x:f>IF(K136="","",A136-K136)</x:f>
      </x:c>
      <x:c r="M136" t="str">
        <x:f>IF(L136="","",IF(N136="Yes","Strategic Legacy",IF(L136&lt;=90,"Active",IF(L136&lt;=180,"Monitor",IF(L136&lt;=365,"Slow-Moving",IF(L136&lt;=730,"Excess","Obsolete"))))))</x:f>
      </x:c>
    </x:row>
    <x:row r="137">
      <x:c r="A137" s="40"/>
      <x:c r="I137" s="42"/>
      <x:c r="J137" s="42" t="str">
        <x:f>IF(OR(H137="",I137=""),"",H137*I137)</x:f>
      </x:c>
      <x:c r="K137" s="40"/>
      <x:c r="L137" t="str">
        <x:f>IF(K137="","",A137-K137)</x:f>
      </x:c>
      <x:c r="M137" t="str">
        <x:f>IF(L137="","",IF(N137="Yes","Strategic Legacy",IF(L137&lt;=90,"Active",IF(L137&lt;=180,"Monitor",IF(L137&lt;=365,"Slow-Moving",IF(L137&lt;=730,"Excess","Obsolete"))))))</x:f>
      </x:c>
    </x:row>
    <x:row r="138">
      <x:c r="A138" s="40"/>
      <x:c r="I138" s="42"/>
      <x:c r="J138" s="42" t="str">
        <x:f>IF(OR(H138="",I138=""),"",H138*I138)</x:f>
      </x:c>
      <x:c r="K138" s="40"/>
      <x:c r="L138" t="str">
        <x:f>IF(K138="","",A138-K138)</x:f>
      </x:c>
      <x:c r="M138" t="str">
        <x:f>IF(L138="","",IF(N138="Yes","Strategic Legacy",IF(L138&lt;=90,"Active",IF(L138&lt;=180,"Monitor",IF(L138&lt;=365,"Slow-Moving",IF(L138&lt;=730,"Excess","Obsolete"))))))</x:f>
      </x:c>
    </x:row>
    <x:row r="139">
      <x:c r="A139" s="40"/>
      <x:c r="I139" s="42"/>
      <x:c r="J139" s="42" t="str">
        <x:f>IF(OR(H139="",I139=""),"",H139*I139)</x:f>
      </x:c>
      <x:c r="K139" s="40"/>
      <x:c r="L139" t="str">
        <x:f>IF(K139="","",A139-K139)</x:f>
      </x:c>
      <x:c r="M139" t="str">
        <x:f>IF(L139="","",IF(N139="Yes","Strategic Legacy",IF(L139&lt;=90,"Active",IF(L139&lt;=180,"Monitor",IF(L139&lt;=365,"Slow-Moving",IF(L139&lt;=730,"Excess","Obsolete"))))))</x:f>
      </x:c>
    </x:row>
    <x:row r="140">
      <x:c r="A140" s="40"/>
      <x:c r="I140" s="42"/>
      <x:c r="J140" s="42" t="str">
        <x:f>IF(OR(H140="",I140=""),"",H140*I140)</x:f>
      </x:c>
      <x:c r="K140" s="40"/>
      <x:c r="L140" t="str">
        <x:f>IF(K140="","",A140-K140)</x:f>
      </x:c>
      <x:c r="M140" t="str">
        <x:f>IF(L140="","",IF(N140="Yes","Strategic Legacy",IF(L140&lt;=90,"Active",IF(L140&lt;=180,"Monitor",IF(L140&lt;=365,"Slow-Moving",IF(L140&lt;=730,"Excess","Obsolete"))))))</x:f>
      </x:c>
    </x:row>
    <x:row r="141">
      <x:c r="A141" s="40"/>
      <x:c r="I141" s="42"/>
      <x:c r="J141" s="42" t="str">
        <x:f>IF(OR(H141="",I141=""),"",H141*I141)</x:f>
      </x:c>
      <x:c r="K141" s="40"/>
      <x:c r="L141" t="str">
        <x:f>IF(K141="","",A141-K141)</x:f>
      </x:c>
      <x:c r="M141" t="str">
        <x:f>IF(L141="","",IF(N141="Yes","Strategic Legacy",IF(L141&lt;=90,"Active",IF(L141&lt;=180,"Monitor",IF(L141&lt;=365,"Slow-Moving",IF(L141&lt;=730,"Excess","Obsolete"))))))</x:f>
      </x:c>
    </x:row>
    <x:row r="142">
      <x:c r="A142" s="40"/>
      <x:c r="I142" s="42"/>
      <x:c r="J142" s="42" t="str">
        <x:f>IF(OR(H142="",I142=""),"",H142*I142)</x:f>
      </x:c>
      <x:c r="K142" s="40"/>
      <x:c r="L142" t="str">
        <x:f>IF(K142="","",A142-K142)</x:f>
      </x:c>
      <x:c r="M142" t="str">
        <x:f>IF(L142="","",IF(N142="Yes","Strategic Legacy",IF(L142&lt;=90,"Active",IF(L142&lt;=180,"Monitor",IF(L142&lt;=365,"Slow-Moving",IF(L142&lt;=730,"Excess","Obsolete"))))))</x:f>
      </x:c>
    </x:row>
    <x:row r="143">
      <x:c r="A143" s="40"/>
      <x:c r="I143" s="42"/>
      <x:c r="J143" s="42" t="str">
        <x:f>IF(OR(H143="",I143=""),"",H143*I143)</x:f>
      </x:c>
      <x:c r="K143" s="40"/>
      <x:c r="L143" t="str">
        <x:f>IF(K143="","",A143-K143)</x:f>
      </x:c>
      <x:c r="M143" t="str">
        <x:f>IF(L143="","",IF(N143="Yes","Strategic Legacy",IF(L143&lt;=90,"Active",IF(L143&lt;=180,"Monitor",IF(L143&lt;=365,"Slow-Moving",IF(L143&lt;=730,"Excess","Obsolete"))))))</x:f>
      </x:c>
    </x:row>
    <x:row r="144">
      <x:c r="A144" s="40"/>
      <x:c r="I144" s="42"/>
      <x:c r="J144" s="42" t="str">
        <x:f>IF(OR(H144="",I144=""),"",H144*I144)</x:f>
      </x:c>
      <x:c r="K144" s="40"/>
      <x:c r="L144" t="str">
        <x:f>IF(K144="","",A144-K144)</x:f>
      </x:c>
      <x:c r="M144" t="str">
        <x:f>IF(L144="","",IF(N144="Yes","Strategic Legacy",IF(L144&lt;=90,"Active",IF(L144&lt;=180,"Monitor",IF(L144&lt;=365,"Slow-Moving",IF(L144&lt;=730,"Excess","Obsolete"))))))</x:f>
      </x:c>
    </x:row>
    <x:row r="145">
      <x:c r="A145" s="40"/>
      <x:c r="I145" s="42"/>
      <x:c r="J145" s="42" t="str">
        <x:f>IF(OR(H145="",I145=""),"",H145*I145)</x:f>
      </x:c>
      <x:c r="K145" s="40"/>
      <x:c r="L145" t="str">
        <x:f>IF(K145="","",A145-K145)</x:f>
      </x:c>
      <x:c r="M145" t="str">
        <x:f>IF(L145="","",IF(N145="Yes","Strategic Legacy",IF(L145&lt;=90,"Active",IF(L145&lt;=180,"Monitor",IF(L145&lt;=365,"Slow-Moving",IF(L145&lt;=730,"Excess","Obsolete"))))))</x:f>
      </x:c>
    </x:row>
    <x:row r="146">
      <x:c r="A146" s="40"/>
      <x:c r="I146" s="42"/>
      <x:c r="J146" s="42" t="str">
        <x:f>IF(OR(H146="",I146=""),"",H146*I146)</x:f>
      </x:c>
      <x:c r="K146" s="40"/>
      <x:c r="L146" t="str">
        <x:f>IF(K146="","",A146-K146)</x:f>
      </x:c>
      <x:c r="M146" t="str">
        <x:f>IF(L146="","",IF(N146="Yes","Strategic Legacy",IF(L146&lt;=90,"Active",IF(L146&lt;=180,"Monitor",IF(L146&lt;=365,"Slow-Moving",IF(L146&lt;=730,"Excess","Obsolete"))))))</x:f>
      </x:c>
    </x:row>
    <x:row r="147">
      <x:c r="A147" s="40"/>
      <x:c r="I147" s="42"/>
      <x:c r="J147" s="42" t="str">
        <x:f>IF(OR(H147="",I147=""),"",H147*I147)</x:f>
      </x:c>
      <x:c r="K147" s="40"/>
      <x:c r="L147" t="str">
        <x:f>IF(K147="","",A147-K147)</x:f>
      </x:c>
      <x:c r="M147" t="str">
        <x:f>IF(L147="","",IF(N147="Yes","Strategic Legacy",IF(L147&lt;=90,"Active",IF(L147&lt;=180,"Monitor",IF(L147&lt;=365,"Slow-Moving",IF(L147&lt;=730,"Excess","Obsolete"))))))</x:f>
      </x:c>
    </x:row>
    <x:row r="148">
      <x:c r="A148" s="40"/>
      <x:c r="I148" s="42"/>
      <x:c r="J148" s="42" t="str">
        <x:f>IF(OR(H148="",I148=""),"",H148*I148)</x:f>
      </x:c>
      <x:c r="K148" s="40"/>
      <x:c r="L148" t="str">
        <x:f>IF(K148="","",A148-K148)</x:f>
      </x:c>
      <x:c r="M148" t="str">
        <x:f>IF(L148="","",IF(N148="Yes","Strategic Legacy",IF(L148&lt;=90,"Active",IF(L148&lt;=180,"Monitor",IF(L148&lt;=365,"Slow-Moving",IF(L148&lt;=730,"Excess","Obsolete"))))))</x:f>
      </x:c>
    </x:row>
    <x:row r="149">
      <x:c r="A149" s="40"/>
      <x:c r="I149" s="42"/>
      <x:c r="J149" s="42" t="str">
        <x:f>IF(OR(H149="",I149=""),"",H149*I149)</x:f>
      </x:c>
      <x:c r="K149" s="40"/>
      <x:c r="L149" t="str">
        <x:f>IF(K149="","",A149-K149)</x:f>
      </x:c>
      <x:c r="M149" t="str">
        <x:f>IF(L149="","",IF(N149="Yes","Strategic Legacy",IF(L149&lt;=90,"Active",IF(L149&lt;=180,"Monitor",IF(L149&lt;=365,"Slow-Moving",IF(L149&lt;=730,"Excess","Obsolete"))))))</x:f>
      </x:c>
    </x:row>
    <x:row r="150">
      <x:c r="A150" s="40"/>
      <x:c r="I150" s="42"/>
      <x:c r="J150" s="42" t="str">
        <x:f>IF(OR(H150="",I150=""),"",H150*I150)</x:f>
      </x:c>
      <x:c r="K150" s="40"/>
      <x:c r="L150" t="str">
        <x:f>IF(K150="","",A150-K150)</x:f>
      </x:c>
      <x:c r="M150" t="str">
        <x:f>IF(L150="","",IF(N150="Yes","Strategic Legacy",IF(L150&lt;=90,"Active",IF(L150&lt;=180,"Monitor",IF(L150&lt;=365,"Slow-Moving",IF(L150&lt;=730,"Excess","Obsolete"))))))</x:f>
      </x:c>
    </x:row>
    <x:row r="151">
      <x:c r="A151" s="40"/>
      <x:c r="I151" s="42"/>
      <x:c r="J151" s="42" t="str">
        <x:f>IF(OR(H151="",I151=""),"",H151*I151)</x:f>
      </x:c>
      <x:c r="K151" s="40"/>
      <x:c r="L151" t="str">
        <x:f>IF(K151="","",A151-K151)</x:f>
      </x:c>
      <x:c r="M151" t="str">
        <x:f>IF(L151="","",IF(N151="Yes","Strategic Legacy",IF(L151&lt;=90,"Active",IF(L151&lt;=180,"Monitor",IF(L151&lt;=365,"Slow-Moving",IF(L151&lt;=730,"Excess","Obsolete"))))))</x:f>
      </x:c>
    </x:row>
    <x:row r="152">
      <x:c r="A152" s="40"/>
      <x:c r="I152" s="42"/>
      <x:c r="J152" s="42" t="str">
        <x:f>IF(OR(H152="",I152=""),"",H152*I152)</x:f>
      </x:c>
      <x:c r="K152" s="40"/>
      <x:c r="L152" t="str">
        <x:f>IF(K152="","",A152-K152)</x:f>
      </x:c>
      <x:c r="M152" t="str">
        <x:f>IF(L152="","",IF(N152="Yes","Strategic Legacy",IF(L152&lt;=90,"Active",IF(L152&lt;=180,"Monitor",IF(L152&lt;=365,"Slow-Moving",IF(L152&lt;=730,"Excess","Obsolete"))))))</x:f>
      </x:c>
    </x:row>
    <x:row r="153">
      <x:c r="A153" s="40"/>
      <x:c r="I153" s="42"/>
      <x:c r="J153" s="42" t="str">
        <x:f>IF(OR(H153="",I153=""),"",H153*I153)</x:f>
      </x:c>
      <x:c r="K153" s="40"/>
      <x:c r="L153" t="str">
        <x:f>IF(K153="","",A153-K153)</x:f>
      </x:c>
      <x:c r="M153" t="str">
        <x:f>IF(L153="","",IF(N153="Yes","Strategic Legacy",IF(L153&lt;=90,"Active",IF(L153&lt;=180,"Monitor",IF(L153&lt;=365,"Slow-Moving",IF(L153&lt;=730,"Excess","Obsolete"))))))</x:f>
      </x:c>
    </x:row>
    <x:row r="154">
      <x:c r="A154" s="40"/>
      <x:c r="I154" s="42"/>
      <x:c r="J154" s="42" t="str">
        <x:f>IF(OR(H154="",I154=""),"",H154*I154)</x:f>
      </x:c>
      <x:c r="K154" s="40"/>
      <x:c r="L154" t="str">
        <x:f>IF(K154="","",A154-K154)</x:f>
      </x:c>
      <x:c r="M154" t="str">
        <x:f>IF(L154="","",IF(N154="Yes","Strategic Legacy",IF(L154&lt;=90,"Active",IF(L154&lt;=180,"Monitor",IF(L154&lt;=365,"Slow-Moving",IF(L154&lt;=730,"Excess","Obsolete"))))))</x:f>
      </x:c>
    </x:row>
    <x:row r="155">
      <x:c r="A155" s="40"/>
      <x:c r="I155" s="42"/>
      <x:c r="J155" s="42" t="str">
        <x:f>IF(OR(H155="",I155=""),"",H155*I155)</x:f>
      </x:c>
      <x:c r="K155" s="40"/>
      <x:c r="L155" t="str">
        <x:f>IF(K155="","",A155-K155)</x:f>
      </x:c>
      <x:c r="M155" t="str">
        <x:f>IF(L155="","",IF(N155="Yes","Strategic Legacy",IF(L155&lt;=90,"Active",IF(L155&lt;=180,"Monitor",IF(L155&lt;=365,"Slow-Moving",IF(L155&lt;=730,"Excess","Obsolete"))))))</x:f>
      </x:c>
    </x:row>
    <x:row r="156">
      <x:c r="A156" s="40"/>
      <x:c r="I156" s="42"/>
      <x:c r="J156" s="42" t="str">
        <x:f>IF(OR(H156="",I156=""),"",H156*I156)</x:f>
      </x:c>
      <x:c r="K156" s="40"/>
      <x:c r="L156" t="str">
        <x:f>IF(K156="","",A156-K156)</x:f>
      </x:c>
      <x:c r="M156" t="str">
        <x:f>IF(L156="","",IF(N156="Yes","Strategic Legacy",IF(L156&lt;=90,"Active",IF(L156&lt;=180,"Monitor",IF(L156&lt;=365,"Slow-Moving",IF(L156&lt;=730,"Excess","Obsolete"))))))</x:f>
      </x:c>
    </x:row>
    <x:row r="157">
      <x:c r="A157" s="40"/>
      <x:c r="I157" s="42"/>
      <x:c r="J157" s="42" t="str">
        <x:f>IF(OR(H157="",I157=""),"",H157*I157)</x:f>
      </x:c>
      <x:c r="K157" s="40"/>
      <x:c r="L157" t="str">
        <x:f>IF(K157="","",A157-K157)</x:f>
      </x:c>
      <x:c r="M157" t="str">
        <x:f>IF(L157="","",IF(N157="Yes","Strategic Legacy",IF(L157&lt;=90,"Active",IF(L157&lt;=180,"Monitor",IF(L157&lt;=365,"Slow-Moving",IF(L157&lt;=730,"Excess","Obsolete"))))))</x:f>
      </x:c>
    </x:row>
    <x:row r="158">
      <x:c r="A158" s="40"/>
      <x:c r="I158" s="42"/>
      <x:c r="J158" s="42" t="str">
        <x:f>IF(OR(H158="",I158=""),"",H158*I158)</x:f>
      </x:c>
      <x:c r="K158" s="40"/>
      <x:c r="L158" t="str">
        <x:f>IF(K158="","",A158-K158)</x:f>
      </x:c>
      <x:c r="M158" t="str">
        <x:f>IF(L158="","",IF(N158="Yes","Strategic Legacy",IF(L158&lt;=90,"Active",IF(L158&lt;=180,"Monitor",IF(L158&lt;=365,"Slow-Moving",IF(L158&lt;=730,"Excess","Obsolete"))))))</x:f>
      </x:c>
    </x:row>
    <x:row r="159">
      <x:c r="A159" s="40"/>
      <x:c r="I159" s="42"/>
      <x:c r="J159" s="42" t="str">
        <x:f>IF(OR(H159="",I159=""),"",H159*I159)</x:f>
      </x:c>
      <x:c r="K159" s="40"/>
      <x:c r="L159" t="str">
        <x:f>IF(K159="","",A159-K159)</x:f>
      </x:c>
      <x:c r="M159" t="str">
        <x:f>IF(L159="","",IF(N159="Yes","Strategic Legacy",IF(L159&lt;=90,"Active",IF(L159&lt;=180,"Monitor",IF(L159&lt;=365,"Slow-Moving",IF(L159&lt;=730,"Excess","Obsolete"))))))</x:f>
      </x:c>
    </x:row>
    <x:row r="160">
      <x:c r="A160" s="40"/>
      <x:c r="I160" s="42"/>
      <x:c r="J160" s="42" t="str">
        <x:f>IF(OR(H160="",I160=""),"",H160*I160)</x:f>
      </x:c>
      <x:c r="K160" s="40"/>
      <x:c r="L160" t="str">
        <x:f>IF(K160="","",A160-K160)</x:f>
      </x:c>
      <x:c r="M160" t="str">
        <x:f>IF(L160="","",IF(N160="Yes","Strategic Legacy",IF(L160&lt;=90,"Active",IF(L160&lt;=180,"Monitor",IF(L160&lt;=365,"Slow-Moving",IF(L160&lt;=730,"Excess","Obsolete"))))))</x:f>
      </x:c>
    </x:row>
    <x:row r="161">
      <x:c r="A161" s="40"/>
      <x:c r="I161" s="42"/>
      <x:c r="J161" s="42" t="str">
        <x:f>IF(OR(H161="",I161=""),"",H161*I161)</x:f>
      </x:c>
      <x:c r="K161" s="40"/>
      <x:c r="L161" t="str">
        <x:f>IF(K161="","",A161-K161)</x:f>
      </x:c>
      <x:c r="M161" t="str">
        <x:f>IF(L161="","",IF(N161="Yes","Strategic Legacy",IF(L161&lt;=90,"Active",IF(L161&lt;=180,"Monitor",IF(L161&lt;=365,"Slow-Moving",IF(L161&lt;=730,"Excess","Obsolete"))))))</x:f>
      </x:c>
    </x:row>
    <x:row r="162">
      <x:c r="A162" s="40"/>
      <x:c r="I162" s="42"/>
      <x:c r="J162" s="42" t="str">
        <x:f>IF(OR(H162="",I162=""),"",H162*I162)</x:f>
      </x:c>
      <x:c r="K162" s="40"/>
      <x:c r="L162" t="str">
        <x:f>IF(K162="","",A162-K162)</x:f>
      </x:c>
      <x:c r="M162" t="str">
        <x:f>IF(L162="","",IF(N162="Yes","Strategic Legacy",IF(L162&lt;=90,"Active",IF(L162&lt;=180,"Monitor",IF(L162&lt;=365,"Slow-Moving",IF(L162&lt;=730,"Excess","Obsolete"))))))</x:f>
      </x:c>
    </x:row>
    <x:row r="163">
      <x:c r="A163" s="40"/>
      <x:c r="I163" s="42"/>
      <x:c r="J163" s="42" t="str">
        <x:f>IF(OR(H163="",I163=""),"",H163*I163)</x:f>
      </x:c>
      <x:c r="K163" s="40"/>
      <x:c r="L163" t="str">
        <x:f>IF(K163="","",A163-K163)</x:f>
      </x:c>
      <x:c r="M163" t="str">
        <x:f>IF(L163="","",IF(N163="Yes","Strategic Legacy",IF(L163&lt;=90,"Active",IF(L163&lt;=180,"Monitor",IF(L163&lt;=365,"Slow-Moving",IF(L163&lt;=730,"Excess","Obsolete"))))))</x:f>
      </x:c>
    </x:row>
    <x:row r="164">
      <x:c r="A164" s="40"/>
      <x:c r="I164" s="42"/>
      <x:c r="J164" s="42" t="str">
        <x:f>IF(OR(H164="",I164=""),"",H164*I164)</x:f>
      </x:c>
      <x:c r="K164" s="40"/>
      <x:c r="L164" t="str">
        <x:f>IF(K164="","",A164-K164)</x:f>
      </x:c>
      <x:c r="M164" t="str">
        <x:f>IF(L164="","",IF(N164="Yes","Strategic Legacy",IF(L164&lt;=90,"Active",IF(L164&lt;=180,"Monitor",IF(L164&lt;=365,"Slow-Moving",IF(L164&lt;=730,"Excess","Obsolete"))))))</x:f>
      </x:c>
    </x:row>
    <x:row r="165">
      <x:c r="A165" s="40"/>
      <x:c r="I165" s="42"/>
      <x:c r="J165" s="42" t="str">
        <x:f>IF(OR(H165="",I165=""),"",H165*I165)</x:f>
      </x:c>
      <x:c r="K165" s="40"/>
      <x:c r="L165" t="str">
        <x:f>IF(K165="","",A165-K165)</x:f>
      </x:c>
      <x:c r="M165" t="str">
        <x:f>IF(L165="","",IF(N165="Yes","Strategic Legacy",IF(L165&lt;=90,"Active",IF(L165&lt;=180,"Monitor",IF(L165&lt;=365,"Slow-Moving",IF(L165&lt;=730,"Excess","Obsolete"))))))</x:f>
      </x:c>
    </x:row>
    <x:row r="166">
      <x:c r="A166" s="40"/>
      <x:c r="I166" s="42"/>
      <x:c r="J166" s="42" t="str">
        <x:f>IF(OR(H166="",I166=""),"",H166*I166)</x:f>
      </x:c>
      <x:c r="K166" s="40"/>
      <x:c r="L166" t="str">
        <x:f>IF(K166="","",A166-K166)</x:f>
      </x:c>
      <x:c r="M166" t="str">
        <x:f>IF(L166="","",IF(N166="Yes","Strategic Legacy",IF(L166&lt;=90,"Active",IF(L166&lt;=180,"Monitor",IF(L166&lt;=365,"Slow-Moving",IF(L166&lt;=730,"Excess","Obsolete"))))))</x:f>
      </x:c>
    </x:row>
    <x:row r="167">
      <x:c r="A167" s="40"/>
      <x:c r="I167" s="42"/>
      <x:c r="J167" s="42" t="str">
        <x:f>IF(OR(H167="",I167=""),"",H167*I167)</x:f>
      </x:c>
      <x:c r="K167" s="40"/>
      <x:c r="L167" t="str">
        <x:f>IF(K167="","",A167-K167)</x:f>
      </x:c>
      <x:c r="M167" t="str">
        <x:f>IF(L167="","",IF(N167="Yes","Strategic Legacy",IF(L167&lt;=90,"Active",IF(L167&lt;=180,"Monitor",IF(L167&lt;=365,"Slow-Moving",IF(L167&lt;=730,"Excess","Obsolete"))))))</x:f>
      </x:c>
    </x:row>
    <x:row r="168">
      <x:c r="A168" s="40"/>
      <x:c r="I168" s="42"/>
      <x:c r="J168" s="42" t="str">
        <x:f>IF(OR(H168="",I168=""),"",H168*I168)</x:f>
      </x:c>
      <x:c r="K168" s="40"/>
      <x:c r="L168" t="str">
        <x:f>IF(K168="","",A168-K168)</x:f>
      </x:c>
      <x:c r="M168" t="str">
        <x:f>IF(L168="","",IF(N168="Yes","Strategic Legacy",IF(L168&lt;=90,"Active",IF(L168&lt;=180,"Monitor",IF(L168&lt;=365,"Slow-Moving",IF(L168&lt;=730,"Excess","Obsolete"))))))</x:f>
      </x:c>
    </x:row>
    <x:row r="169">
      <x:c r="A169" s="40"/>
      <x:c r="I169" s="42"/>
      <x:c r="J169" s="42" t="str">
        <x:f>IF(OR(H169="",I169=""),"",H169*I169)</x:f>
      </x:c>
      <x:c r="K169" s="40"/>
      <x:c r="L169" t="str">
        <x:f>IF(K169="","",A169-K169)</x:f>
      </x:c>
      <x:c r="M169" t="str">
        <x:f>IF(L169="","",IF(N169="Yes","Strategic Legacy",IF(L169&lt;=90,"Active",IF(L169&lt;=180,"Monitor",IF(L169&lt;=365,"Slow-Moving",IF(L169&lt;=730,"Excess","Obsolete"))))))</x:f>
      </x:c>
    </x:row>
    <x:row r="170">
      <x:c r="A170" s="40"/>
      <x:c r="I170" s="42"/>
      <x:c r="J170" s="42" t="str">
        <x:f>IF(OR(H170="",I170=""),"",H170*I170)</x:f>
      </x:c>
      <x:c r="K170" s="40"/>
      <x:c r="L170" t="str">
        <x:f>IF(K170="","",A170-K170)</x:f>
      </x:c>
      <x:c r="M170" t="str">
        <x:f>IF(L170="","",IF(N170="Yes","Strategic Legacy",IF(L170&lt;=90,"Active",IF(L170&lt;=180,"Monitor",IF(L170&lt;=365,"Slow-Moving",IF(L170&lt;=730,"Excess","Obsolete"))))))</x:f>
      </x:c>
    </x:row>
    <x:row r="171">
      <x:c r="A171" s="40"/>
      <x:c r="I171" s="42"/>
      <x:c r="J171" s="42" t="str">
        <x:f>IF(OR(H171="",I171=""),"",H171*I171)</x:f>
      </x:c>
      <x:c r="K171" s="40"/>
      <x:c r="L171" t="str">
        <x:f>IF(K171="","",A171-K171)</x:f>
      </x:c>
      <x:c r="M171" t="str">
        <x:f>IF(L171="","",IF(N171="Yes","Strategic Legacy",IF(L171&lt;=90,"Active",IF(L171&lt;=180,"Monitor",IF(L171&lt;=365,"Slow-Moving",IF(L171&lt;=730,"Excess","Obsolete"))))))</x:f>
      </x:c>
    </x:row>
    <x:row r="172">
      <x:c r="A172" s="40"/>
      <x:c r="I172" s="42"/>
      <x:c r="J172" s="42" t="str">
        <x:f>IF(OR(H172="",I172=""),"",H172*I172)</x:f>
      </x:c>
      <x:c r="K172" s="40"/>
      <x:c r="L172" t="str">
        <x:f>IF(K172="","",A172-K172)</x:f>
      </x:c>
      <x:c r="M172" t="str">
        <x:f>IF(L172="","",IF(N172="Yes","Strategic Legacy",IF(L172&lt;=90,"Active",IF(L172&lt;=180,"Monitor",IF(L172&lt;=365,"Slow-Moving",IF(L172&lt;=730,"Excess","Obsolete"))))))</x:f>
      </x:c>
    </x:row>
    <x:row r="173">
      <x:c r="A173" s="40"/>
      <x:c r="I173" s="42"/>
      <x:c r="J173" s="42" t="str">
        <x:f>IF(OR(H173="",I173=""),"",H173*I173)</x:f>
      </x:c>
      <x:c r="K173" s="40"/>
      <x:c r="L173" t="str">
        <x:f>IF(K173="","",A173-K173)</x:f>
      </x:c>
      <x:c r="M173" t="str">
        <x:f>IF(L173="","",IF(N173="Yes","Strategic Legacy",IF(L173&lt;=90,"Active",IF(L173&lt;=180,"Monitor",IF(L173&lt;=365,"Slow-Moving",IF(L173&lt;=730,"Excess","Obsolete"))))))</x:f>
      </x:c>
    </x:row>
    <x:row r="174">
      <x:c r="A174" s="40"/>
      <x:c r="I174" s="42"/>
      <x:c r="J174" s="42" t="str">
        <x:f>IF(OR(H174="",I174=""),"",H174*I174)</x:f>
      </x:c>
      <x:c r="K174" s="40"/>
      <x:c r="L174" t="str">
        <x:f>IF(K174="","",A174-K174)</x:f>
      </x:c>
      <x:c r="M174" t="str">
        <x:f>IF(L174="","",IF(N174="Yes","Strategic Legacy",IF(L174&lt;=90,"Active",IF(L174&lt;=180,"Monitor",IF(L174&lt;=365,"Slow-Moving",IF(L174&lt;=730,"Excess","Obsolete"))))))</x:f>
      </x:c>
    </x:row>
    <x:row r="175">
      <x:c r="A175" s="40"/>
      <x:c r="I175" s="42"/>
      <x:c r="J175" s="42" t="str">
        <x:f>IF(OR(H175="",I175=""),"",H175*I175)</x:f>
      </x:c>
      <x:c r="K175" s="40"/>
      <x:c r="L175" t="str">
        <x:f>IF(K175="","",A175-K175)</x:f>
      </x:c>
      <x:c r="M175" t="str">
        <x:f>IF(L175="","",IF(N175="Yes","Strategic Legacy",IF(L175&lt;=90,"Active",IF(L175&lt;=180,"Monitor",IF(L175&lt;=365,"Slow-Moving",IF(L175&lt;=730,"Excess","Obsolete"))))))</x:f>
      </x:c>
    </x:row>
    <x:row r="176">
      <x:c r="A176" s="40"/>
      <x:c r="I176" s="42"/>
      <x:c r="J176" s="42" t="str">
        <x:f>IF(OR(H176="",I176=""),"",H176*I176)</x:f>
      </x:c>
      <x:c r="K176" s="40"/>
      <x:c r="L176" t="str">
        <x:f>IF(K176="","",A176-K176)</x:f>
      </x:c>
      <x:c r="M176" t="str">
        <x:f>IF(L176="","",IF(N176="Yes","Strategic Legacy",IF(L176&lt;=90,"Active",IF(L176&lt;=180,"Monitor",IF(L176&lt;=365,"Slow-Moving",IF(L176&lt;=730,"Excess","Obsolete"))))))</x:f>
      </x:c>
    </x:row>
    <x:row r="177">
      <x:c r="A177" s="40"/>
      <x:c r="I177" s="42"/>
      <x:c r="J177" s="42" t="str">
        <x:f>IF(OR(H177="",I177=""),"",H177*I177)</x:f>
      </x:c>
      <x:c r="K177" s="40"/>
      <x:c r="L177" t="str">
        <x:f>IF(K177="","",A177-K177)</x:f>
      </x:c>
      <x:c r="M177" t="str">
        <x:f>IF(L177="","",IF(N177="Yes","Strategic Legacy",IF(L177&lt;=90,"Active",IF(L177&lt;=180,"Monitor",IF(L177&lt;=365,"Slow-Moving",IF(L177&lt;=730,"Excess","Obsolete"))))))</x:f>
      </x:c>
    </x:row>
    <x:row r="178">
      <x:c r="A178" s="40"/>
      <x:c r="I178" s="42"/>
      <x:c r="J178" s="42" t="str">
        <x:f>IF(OR(H178="",I178=""),"",H178*I178)</x:f>
      </x:c>
      <x:c r="K178" s="40"/>
      <x:c r="L178" t="str">
        <x:f>IF(K178="","",A178-K178)</x:f>
      </x:c>
      <x:c r="M178" t="str">
        <x:f>IF(L178="","",IF(N178="Yes","Strategic Legacy",IF(L178&lt;=90,"Active",IF(L178&lt;=180,"Monitor",IF(L178&lt;=365,"Slow-Moving",IF(L178&lt;=730,"Excess","Obsolete"))))))</x:f>
      </x:c>
    </x:row>
    <x:row r="179">
      <x:c r="A179" s="40"/>
      <x:c r="I179" s="42"/>
      <x:c r="J179" s="42" t="str">
        <x:f>IF(OR(H179="",I179=""),"",H179*I179)</x:f>
      </x:c>
      <x:c r="K179" s="40"/>
      <x:c r="L179" t="str">
        <x:f>IF(K179="","",A179-K179)</x:f>
      </x:c>
      <x:c r="M179" t="str">
        <x:f>IF(L179="","",IF(N179="Yes","Strategic Legacy",IF(L179&lt;=90,"Active",IF(L179&lt;=180,"Monitor",IF(L179&lt;=365,"Slow-Moving",IF(L179&lt;=730,"Excess","Obsolete"))))))</x:f>
      </x:c>
    </x:row>
    <x:row r="180">
      <x:c r="A180" s="40"/>
      <x:c r="I180" s="42"/>
      <x:c r="J180" s="42" t="str">
        <x:f>IF(OR(H180="",I180=""),"",H180*I180)</x:f>
      </x:c>
      <x:c r="K180" s="40"/>
      <x:c r="L180" t="str">
        <x:f>IF(K180="","",A180-K180)</x:f>
      </x:c>
      <x:c r="M180" t="str">
        <x:f>IF(L180="","",IF(N180="Yes","Strategic Legacy",IF(L180&lt;=90,"Active",IF(L180&lt;=180,"Monitor",IF(L180&lt;=365,"Slow-Moving",IF(L180&lt;=730,"Excess","Obsolete"))))))</x:f>
      </x:c>
    </x:row>
    <x:row r="181">
      <x:c r="A181" s="40"/>
      <x:c r="I181" s="42"/>
      <x:c r="J181" s="42" t="str">
        <x:f>IF(OR(H181="",I181=""),"",H181*I181)</x:f>
      </x:c>
      <x:c r="K181" s="40"/>
      <x:c r="L181" t="str">
        <x:f>IF(K181="","",A181-K181)</x:f>
      </x:c>
      <x:c r="M181" t="str">
        <x:f>IF(L181="","",IF(N181="Yes","Strategic Legacy",IF(L181&lt;=90,"Active",IF(L181&lt;=180,"Monitor",IF(L181&lt;=365,"Slow-Moving",IF(L181&lt;=730,"Excess","Obsolete"))))))</x:f>
      </x:c>
    </x:row>
    <x:row r="182">
      <x:c r="A182" s="40"/>
      <x:c r="I182" s="42"/>
      <x:c r="J182" s="42" t="str">
        <x:f>IF(OR(H182="",I182=""),"",H182*I182)</x:f>
      </x:c>
      <x:c r="K182" s="40"/>
      <x:c r="L182" t="str">
        <x:f>IF(K182="","",A182-K182)</x:f>
      </x:c>
      <x:c r="M182" t="str">
        <x:f>IF(L182="","",IF(N182="Yes","Strategic Legacy",IF(L182&lt;=90,"Active",IF(L182&lt;=180,"Monitor",IF(L182&lt;=365,"Slow-Moving",IF(L182&lt;=730,"Excess","Obsolete"))))))</x:f>
      </x:c>
    </x:row>
    <x:row r="183">
      <x:c r="A183" s="40"/>
      <x:c r="I183" s="42"/>
      <x:c r="J183" s="42" t="str">
        <x:f>IF(OR(H183="",I183=""),"",H183*I183)</x:f>
      </x:c>
      <x:c r="K183" s="40"/>
      <x:c r="L183" t="str">
        <x:f>IF(K183="","",A183-K183)</x:f>
      </x:c>
      <x:c r="M183" t="str">
        <x:f>IF(L183="","",IF(N183="Yes","Strategic Legacy",IF(L183&lt;=90,"Active",IF(L183&lt;=180,"Monitor",IF(L183&lt;=365,"Slow-Moving",IF(L183&lt;=730,"Excess","Obsolete"))))))</x:f>
      </x:c>
    </x:row>
    <x:row r="184">
      <x:c r="A184" s="40"/>
      <x:c r="I184" s="42"/>
      <x:c r="J184" s="42" t="str">
        <x:f>IF(OR(H184="",I184=""),"",H184*I184)</x:f>
      </x:c>
      <x:c r="K184" s="40"/>
      <x:c r="L184" t="str">
        <x:f>IF(K184="","",A184-K184)</x:f>
      </x:c>
      <x:c r="M184" t="str">
        <x:f>IF(L184="","",IF(N184="Yes","Strategic Legacy",IF(L184&lt;=90,"Active",IF(L184&lt;=180,"Monitor",IF(L184&lt;=365,"Slow-Moving",IF(L184&lt;=730,"Excess","Obsolete"))))))</x:f>
      </x:c>
    </x:row>
    <x:row r="185">
      <x:c r="A185" s="40"/>
      <x:c r="I185" s="42"/>
      <x:c r="J185" s="42" t="str">
        <x:f>IF(OR(H185="",I185=""),"",H185*I185)</x:f>
      </x:c>
      <x:c r="K185" s="40"/>
      <x:c r="L185" t="str">
        <x:f>IF(K185="","",A185-K185)</x:f>
      </x:c>
      <x:c r="M185" t="str">
        <x:f>IF(L185="","",IF(N185="Yes","Strategic Legacy",IF(L185&lt;=90,"Active",IF(L185&lt;=180,"Monitor",IF(L185&lt;=365,"Slow-Moving",IF(L185&lt;=730,"Excess","Obsolete"))))))</x:f>
      </x:c>
    </x:row>
    <x:row r="186">
      <x:c r="A186" s="40"/>
      <x:c r="I186" s="42"/>
      <x:c r="J186" s="42" t="str">
        <x:f>IF(OR(H186="",I186=""),"",H186*I186)</x:f>
      </x:c>
      <x:c r="K186" s="40"/>
      <x:c r="L186" t="str">
        <x:f>IF(K186="","",A186-K186)</x:f>
      </x:c>
      <x:c r="M186" t="str">
        <x:f>IF(L186="","",IF(N186="Yes","Strategic Legacy",IF(L186&lt;=90,"Active",IF(L186&lt;=180,"Monitor",IF(L186&lt;=365,"Slow-Moving",IF(L186&lt;=730,"Excess","Obsolete"))))))</x:f>
      </x:c>
    </x:row>
    <x:row r="187">
      <x:c r="A187" s="40"/>
      <x:c r="I187" s="42"/>
      <x:c r="J187" s="42" t="str">
        <x:f>IF(OR(H187="",I187=""),"",H187*I187)</x:f>
      </x:c>
      <x:c r="K187" s="40"/>
      <x:c r="L187" t="str">
        <x:f>IF(K187="","",A187-K187)</x:f>
      </x:c>
      <x:c r="M187" t="str">
        <x:f>IF(L187="","",IF(N187="Yes","Strategic Legacy",IF(L187&lt;=90,"Active",IF(L187&lt;=180,"Monitor",IF(L187&lt;=365,"Slow-Moving",IF(L187&lt;=730,"Excess","Obsolete"))))))</x:f>
      </x:c>
    </x:row>
    <x:row r="188">
      <x:c r="A188" s="40"/>
      <x:c r="I188" s="42"/>
      <x:c r="J188" s="42" t="str">
        <x:f>IF(OR(H188="",I188=""),"",H188*I188)</x:f>
      </x:c>
      <x:c r="K188" s="40"/>
      <x:c r="L188" t="str">
        <x:f>IF(K188="","",A188-K188)</x:f>
      </x:c>
      <x:c r="M188" t="str">
        <x:f>IF(L188="","",IF(N188="Yes","Strategic Legacy",IF(L188&lt;=90,"Active",IF(L188&lt;=180,"Monitor",IF(L188&lt;=365,"Slow-Moving",IF(L188&lt;=730,"Excess","Obsolete"))))))</x:f>
      </x:c>
    </x:row>
    <x:row r="189">
      <x:c r="A189" s="40"/>
      <x:c r="I189" s="42"/>
      <x:c r="J189" s="42" t="str">
        <x:f>IF(OR(H189="",I189=""),"",H189*I189)</x:f>
      </x:c>
      <x:c r="K189" s="40"/>
      <x:c r="L189" t="str">
        <x:f>IF(K189="","",A189-K189)</x:f>
      </x:c>
      <x:c r="M189" t="str">
        <x:f>IF(L189="","",IF(N189="Yes","Strategic Legacy",IF(L189&lt;=90,"Active",IF(L189&lt;=180,"Monitor",IF(L189&lt;=365,"Slow-Moving",IF(L189&lt;=730,"Excess","Obsolete"))))))</x:f>
      </x:c>
    </x:row>
    <x:row r="190">
      <x:c r="A190" s="40"/>
      <x:c r="I190" s="42"/>
      <x:c r="J190" s="42" t="str">
        <x:f>IF(OR(H190="",I190=""),"",H190*I190)</x:f>
      </x:c>
      <x:c r="K190" s="40"/>
      <x:c r="L190" t="str">
        <x:f>IF(K190="","",A190-K190)</x:f>
      </x:c>
      <x:c r="M190" t="str">
        <x:f>IF(L190="","",IF(N190="Yes","Strategic Legacy",IF(L190&lt;=90,"Active",IF(L190&lt;=180,"Monitor",IF(L190&lt;=365,"Slow-Moving",IF(L190&lt;=730,"Excess","Obsolete"))))))</x:f>
      </x:c>
    </x:row>
    <x:row r="191">
      <x:c r="A191" s="40"/>
      <x:c r="I191" s="42"/>
      <x:c r="J191" s="42" t="str">
        <x:f>IF(OR(H191="",I191=""),"",H191*I191)</x:f>
      </x:c>
      <x:c r="K191" s="40"/>
      <x:c r="L191" t="str">
        <x:f>IF(K191="","",A191-K191)</x:f>
      </x:c>
      <x:c r="M191" t="str">
        <x:f>IF(L191="","",IF(N191="Yes","Strategic Legacy",IF(L191&lt;=90,"Active",IF(L191&lt;=180,"Monitor",IF(L191&lt;=365,"Slow-Moving",IF(L191&lt;=730,"Excess","Obsolete"))))))</x:f>
      </x:c>
    </x:row>
    <x:row r="192">
      <x:c r="A192" s="40"/>
      <x:c r="I192" s="42"/>
      <x:c r="J192" s="42" t="str">
        <x:f>IF(OR(H192="",I192=""),"",H192*I192)</x:f>
      </x:c>
      <x:c r="K192" s="40"/>
      <x:c r="L192" t="str">
        <x:f>IF(K192="","",A192-K192)</x:f>
      </x:c>
      <x:c r="M192" t="str">
        <x:f>IF(L192="","",IF(N192="Yes","Strategic Legacy",IF(L192&lt;=90,"Active",IF(L192&lt;=180,"Monitor",IF(L192&lt;=365,"Slow-Moving",IF(L192&lt;=730,"Excess","Obsolete"))))))</x:f>
      </x:c>
    </x:row>
    <x:row r="193">
      <x:c r="A193" s="40"/>
      <x:c r="I193" s="42"/>
      <x:c r="J193" s="42" t="str">
        <x:f>IF(OR(H193="",I193=""),"",H193*I193)</x:f>
      </x:c>
      <x:c r="K193" s="40"/>
      <x:c r="L193" t="str">
        <x:f>IF(K193="","",A193-K193)</x:f>
      </x:c>
      <x:c r="M193" t="str">
        <x:f>IF(L193="","",IF(N193="Yes","Strategic Legacy",IF(L193&lt;=90,"Active",IF(L193&lt;=180,"Monitor",IF(L193&lt;=365,"Slow-Moving",IF(L193&lt;=730,"Excess","Obsolete"))))))</x:f>
      </x:c>
    </x:row>
    <x:row r="194">
      <x:c r="A194" s="40"/>
      <x:c r="I194" s="42"/>
      <x:c r="J194" s="42" t="str">
        <x:f>IF(OR(H194="",I194=""),"",H194*I194)</x:f>
      </x:c>
      <x:c r="K194" s="40"/>
      <x:c r="L194" t="str">
        <x:f>IF(K194="","",A194-K194)</x:f>
      </x:c>
      <x:c r="M194" t="str">
        <x:f>IF(L194="","",IF(N194="Yes","Strategic Legacy",IF(L194&lt;=90,"Active",IF(L194&lt;=180,"Monitor",IF(L194&lt;=365,"Slow-Moving",IF(L194&lt;=730,"Excess","Obsolete"))))))</x:f>
      </x:c>
    </x:row>
    <x:row r="195">
      <x:c r="A195" s="40"/>
      <x:c r="I195" s="42"/>
      <x:c r="J195" s="42" t="str">
        <x:f>IF(OR(H195="",I195=""),"",H195*I195)</x:f>
      </x:c>
      <x:c r="K195" s="40"/>
      <x:c r="L195" t="str">
        <x:f>IF(K195="","",A195-K195)</x:f>
      </x:c>
      <x:c r="M195" t="str">
        <x:f>IF(L195="","",IF(N195="Yes","Strategic Legacy",IF(L195&lt;=90,"Active",IF(L195&lt;=180,"Monitor",IF(L195&lt;=365,"Slow-Moving",IF(L195&lt;=730,"Excess","Obsolete"))))))</x:f>
      </x:c>
    </x:row>
    <x:row r="196">
      <x:c r="A196" s="40"/>
      <x:c r="I196" s="42"/>
      <x:c r="J196" s="42" t="str">
        <x:f>IF(OR(H196="",I196=""),"",H196*I196)</x:f>
      </x:c>
      <x:c r="K196" s="40"/>
      <x:c r="L196" t="str">
        <x:f>IF(K196="","",A196-K196)</x:f>
      </x:c>
      <x:c r="M196" t="str">
        <x:f>IF(L196="","",IF(N196="Yes","Strategic Legacy",IF(L196&lt;=90,"Active",IF(L196&lt;=180,"Monitor",IF(L196&lt;=365,"Slow-Moving",IF(L196&lt;=730,"Excess","Obsolete"))))))</x:f>
      </x:c>
    </x:row>
    <x:row r="197">
      <x:c r="A197" s="40"/>
      <x:c r="I197" s="42"/>
      <x:c r="J197" s="42" t="str">
        <x:f>IF(OR(H197="",I197=""),"",H197*I197)</x:f>
      </x:c>
      <x:c r="K197" s="40"/>
      <x:c r="L197" t="str">
        <x:f>IF(K197="","",A197-K197)</x:f>
      </x:c>
      <x:c r="M197" t="str">
        <x:f>IF(L197="","",IF(N197="Yes","Strategic Legacy",IF(L197&lt;=90,"Active",IF(L197&lt;=180,"Monitor",IF(L197&lt;=365,"Slow-Moving",IF(L197&lt;=730,"Excess","Obsolete"))))))</x:f>
      </x:c>
    </x:row>
    <x:row r="198">
      <x:c r="A198" s="40"/>
      <x:c r="I198" s="42"/>
      <x:c r="J198" s="42" t="str">
        <x:f>IF(OR(H198="",I198=""),"",H198*I198)</x:f>
      </x:c>
      <x:c r="K198" s="40"/>
      <x:c r="L198" t="str">
        <x:f>IF(K198="","",A198-K198)</x:f>
      </x:c>
      <x:c r="M198" t="str">
        <x:f>IF(L198="","",IF(N198="Yes","Strategic Legacy",IF(L198&lt;=90,"Active",IF(L198&lt;=180,"Monitor",IF(L198&lt;=365,"Slow-Moving",IF(L198&lt;=730,"Excess","Obsolete"))))))</x:f>
      </x:c>
    </x:row>
    <x:row r="199">
      <x:c r="A199" s="40"/>
      <x:c r="I199" s="42"/>
      <x:c r="J199" s="42" t="str">
        <x:f>IF(OR(H199="",I199=""),"",H199*I199)</x:f>
      </x:c>
      <x:c r="K199" s="40"/>
      <x:c r="L199" t="str">
        <x:f>IF(K199="","",A199-K199)</x:f>
      </x:c>
      <x:c r="M199" t="str">
        <x:f>IF(L199="","",IF(N199="Yes","Strategic Legacy",IF(L199&lt;=90,"Active",IF(L199&lt;=180,"Monitor",IF(L199&lt;=365,"Slow-Moving",IF(L199&lt;=730,"Excess","Obsolete"))))))</x:f>
      </x:c>
    </x:row>
    <x:row r="200">
      <x:c r="A200" s="40"/>
      <x:c r="I200" s="42"/>
      <x:c r="J200" s="42" t="str">
        <x:f>IF(OR(H200="",I200=""),"",H200*I200)</x:f>
      </x:c>
      <x:c r="K200" s="40"/>
      <x:c r="L200" t="str">
        <x:f>IF(K200="","",A200-K200)</x:f>
      </x:c>
      <x:c r="M200" t="str">
        <x:f>IF(L200="","",IF(N200="Yes","Strategic Legacy",IF(L200&lt;=90,"Active",IF(L200&lt;=180,"Monitor",IF(L200&lt;=365,"Slow-Moving",IF(L200&lt;=730,"Excess","Obsolete"))))))</x:f>
      </x:c>
    </x:row>
    <x:row r="201">
      <x:c r="A201" s="40"/>
      <x:c r="I201" s="42"/>
      <x:c r="J201" s="42" t="str">
        <x:f>IF(OR(H201="",I201=""),"",H201*I201)</x:f>
      </x:c>
      <x:c r="K201" s="40"/>
      <x:c r="L201" t="str">
        <x:f>IF(K201="","",A201-K201)</x:f>
      </x:c>
      <x:c r="M201" t="str">
        <x:f>IF(L201="","",IF(N201="Yes","Strategic Legacy",IF(L201&lt;=90,"Active",IF(L201&lt;=180,"Monitor",IF(L201&lt;=365,"Slow-Moving",IF(L201&lt;=730,"Excess","Obsolete"))))))</x:f>
      </x:c>
    </x:row>
    <x:row r="202">
      <x:c r="A202" s="40"/>
      <x:c r="I202" s="42"/>
      <x:c r="J202" s="42" t="str">
        <x:f>IF(OR(H202="",I202=""),"",H202*I202)</x:f>
      </x:c>
      <x:c r="K202" s="40"/>
      <x:c r="L202" t="str">
        <x:f>IF(K202="","",A202-K202)</x:f>
      </x:c>
      <x:c r="M202" t="str">
        <x:f>IF(L202="","",IF(N202="Yes","Strategic Legacy",IF(L202&lt;=90,"Active",IF(L202&lt;=180,"Monitor",IF(L202&lt;=365,"Slow-Moving",IF(L202&lt;=730,"Excess","Obsolete"))))))</x:f>
      </x:c>
    </x:row>
    <x:row r="203">
      <x:c r="A203" s="40"/>
      <x:c r="I203" s="42"/>
      <x:c r="J203" s="42" t="str">
        <x:f>IF(OR(H203="",I203=""),"",H203*I203)</x:f>
      </x:c>
      <x:c r="K203" s="40"/>
      <x:c r="L203" t="str">
        <x:f>IF(K203="","",A203-K203)</x:f>
      </x:c>
      <x:c r="M203" t="str">
        <x:f>IF(L203="","",IF(N203="Yes","Strategic Legacy",IF(L203&lt;=90,"Active",IF(L203&lt;=180,"Monitor",IF(L203&lt;=365,"Slow-Moving",IF(L203&lt;=730,"Excess","Obsolete"))))))</x:f>
      </x:c>
    </x:row>
    <x:row r="204">
      <x:c r="A204" s="40"/>
      <x:c r="I204" s="42"/>
      <x:c r="J204" s="42" t="str">
        <x:f>IF(OR(H204="",I204=""),"",H204*I204)</x:f>
      </x:c>
      <x:c r="K204" s="40"/>
      <x:c r="L204" t="str">
        <x:f>IF(K204="","",A204-K204)</x:f>
      </x:c>
      <x:c r="M204" t="str">
        <x:f>IF(L204="","",IF(N204="Yes","Strategic Legacy",IF(L204&lt;=90,"Active",IF(L204&lt;=180,"Monitor",IF(L204&lt;=365,"Slow-Moving",IF(L204&lt;=730,"Excess","Obsolete"))))))</x:f>
      </x:c>
    </x:row>
    <x:row r="205">
      <x:c r="A205" s="40"/>
      <x:c r="I205" s="42"/>
      <x:c r="J205" s="42" t="str">
        <x:f>IF(OR(H205="",I205=""),"",H205*I205)</x:f>
      </x:c>
      <x:c r="K205" s="40"/>
      <x:c r="L205" t="str">
        <x:f>IF(K205="","",A205-K205)</x:f>
      </x:c>
      <x:c r="M205" t="str">
        <x:f>IF(L205="","",IF(N205="Yes","Strategic Legacy",IF(L205&lt;=90,"Active",IF(L205&lt;=180,"Monitor",IF(L205&lt;=365,"Slow-Moving",IF(L205&lt;=730,"Excess","Obsolete"))))))</x:f>
      </x:c>
    </x:row>
    <x:row r="206">
      <x:c r="A206" s="40"/>
      <x:c r="I206" s="42"/>
      <x:c r="J206" s="42" t="str">
        <x:f>IF(OR(H206="",I206=""),"",H206*I206)</x:f>
      </x:c>
      <x:c r="K206" s="40"/>
      <x:c r="L206" t="str">
        <x:f>IF(K206="","",A206-K206)</x:f>
      </x:c>
      <x:c r="M206" t="str">
        <x:f>IF(L206="","",IF(N206="Yes","Strategic Legacy",IF(L206&lt;=90,"Active",IF(L206&lt;=180,"Monitor",IF(L206&lt;=365,"Slow-Moving",IF(L206&lt;=730,"Excess","Obsolete"))))))</x:f>
      </x:c>
    </x:row>
    <x:row r="207">
      <x:c r="A207" s="40"/>
      <x:c r="I207" s="42"/>
      <x:c r="J207" s="42" t="str">
        <x:f>IF(OR(H207="",I207=""),"",H207*I207)</x:f>
      </x:c>
      <x:c r="K207" s="40"/>
      <x:c r="L207" t="str">
        <x:f>IF(K207="","",A207-K207)</x:f>
      </x:c>
      <x:c r="M207" t="str">
        <x:f>IF(L207="","",IF(N207="Yes","Strategic Legacy",IF(L207&lt;=90,"Active",IF(L207&lt;=180,"Monitor",IF(L207&lt;=365,"Slow-Moving",IF(L207&lt;=730,"Excess","Obsolete"))))))</x:f>
      </x:c>
    </x:row>
    <x:row r="208">
      <x:c r="A208" s="40"/>
      <x:c r="I208" s="42"/>
      <x:c r="J208" s="42" t="str">
        <x:f>IF(OR(H208="",I208=""),"",H208*I208)</x:f>
      </x:c>
      <x:c r="K208" s="40"/>
      <x:c r="L208" t="str">
        <x:f>IF(K208="","",A208-K208)</x:f>
      </x:c>
      <x:c r="M208" t="str">
        <x:f>IF(L208="","",IF(N208="Yes","Strategic Legacy",IF(L208&lt;=90,"Active",IF(L208&lt;=180,"Monitor",IF(L208&lt;=365,"Slow-Moving",IF(L208&lt;=730,"Excess","Obsolete"))))))</x:f>
      </x:c>
    </x:row>
    <x:row r="209">
      <x:c r="A209" s="40"/>
      <x:c r="I209" s="42"/>
      <x:c r="J209" s="42" t="str">
        <x:f>IF(OR(H209="",I209=""),"",H209*I209)</x:f>
      </x:c>
      <x:c r="K209" s="40"/>
      <x:c r="L209" t="str">
        <x:f>IF(K209="","",A209-K209)</x:f>
      </x:c>
      <x:c r="M209" t="str">
        <x:f>IF(L209="","",IF(N209="Yes","Strategic Legacy",IF(L209&lt;=90,"Active",IF(L209&lt;=180,"Monitor",IF(L209&lt;=365,"Slow-Moving",IF(L209&lt;=730,"Excess","Obsolete"))))))</x:f>
      </x:c>
    </x:row>
    <x:row r="210">
      <x:c r="A210" s="40"/>
      <x:c r="I210" s="42"/>
      <x:c r="J210" s="42" t="str">
        <x:f>IF(OR(H210="",I210=""),"",H210*I210)</x:f>
      </x:c>
      <x:c r="K210" s="40"/>
      <x:c r="L210" t="str">
        <x:f>IF(K210="","",A210-K210)</x:f>
      </x:c>
      <x:c r="M210" t="str">
        <x:f>IF(L210="","",IF(N210="Yes","Strategic Legacy",IF(L210&lt;=90,"Active",IF(L210&lt;=180,"Monitor",IF(L210&lt;=365,"Slow-Moving",IF(L210&lt;=730,"Excess","Obsolete"))))))</x:f>
      </x:c>
    </x:row>
    <x:row r="211">
      <x:c r="A211" s="40"/>
      <x:c r="I211" s="42"/>
      <x:c r="J211" s="42" t="str">
        <x:f>IF(OR(H211="",I211=""),"",H211*I211)</x:f>
      </x:c>
      <x:c r="K211" s="40"/>
      <x:c r="L211" t="str">
        <x:f>IF(K211="","",A211-K211)</x:f>
      </x:c>
      <x:c r="M211" t="str">
        <x:f>IF(L211="","",IF(N211="Yes","Strategic Legacy",IF(L211&lt;=90,"Active",IF(L211&lt;=180,"Monitor",IF(L211&lt;=365,"Slow-Moving",IF(L211&lt;=730,"Excess","Obsolete"))))))</x:f>
      </x:c>
    </x:row>
    <x:row r="212">
      <x:c r="A212" s="40"/>
      <x:c r="I212" s="42"/>
      <x:c r="J212" s="42" t="str">
        <x:f>IF(OR(H212="",I212=""),"",H212*I212)</x:f>
      </x:c>
      <x:c r="K212" s="40"/>
      <x:c r="L212" t="str">
        <x:f>IF(K212="","",A212-K212)</x:f>
      </x:c>
      <x:c r="M212" t="str">
        <x:f>IF(L212="","",IF(N212="Yes","Strategic Legacy",IF(L212&lt;=90,"Active",IF(L212&lt;=180,"Monitor",IF(L212&lt;=365,"Slow-Moving",IF(L212&lt;=730,"Excess","Obsolete"))))))</x:f>
      </x:c>
    </x:row>
    <x:row r="213">
      <x:c r="A213" s="40"/>
      <x:c r="I213" s="42"/>
      <x:c r="J213" s="42" t="str">
        <x:f>IF(OR(H213="",I213=""),"",H213*I213)</x:f>
      </x:c>
      <x:c r="K213" s="40"/>
      <x:c r="L213" t="str">
        <x:f>IF(K213="","",A213-K213)</x:f>
      </x:c>
      <x:c r="M213" t="str">
        <x:f>IF(L213="","",IF(N213="Yes","Strategic Legacy",IF(L213&lt;=90,"Active",IF(L213&lt;=180,"Monitor",IF(L213&lt;=365,"Slow-Moving",IF(L213&lt;=730,"Excess","Obsolete"))))))</x:f>
      </x:c>
    </x:row>
    <x:row r="214">
      <x:c r="A214" s="40"/>
      <x:c r="I214" s="42"/>
      <x:c r="J214" s="42" t="str">
        <x:f>IF(OR(H214="",I214=""),"",H214*I214)</x:f>
      </x:c>
      <x:c r="K214" s="40"/>
      <x:c r="L214" t="str">
        <x:f>IF(K214="","",A214-K214)</x:f>
      </x:c>
      <x:c r="M214" t="str">
        <x:f>IF(L214="","",IF(N214="Yes","Strategic Legacy",IF(L214&lt;=90,"Active",IF(L214&lt;=180,"Monitor",IF(L214&lt;=365,"Slow-Moving",IF(L214&lt;=730,"Excess","Obsolete"))))))</x:f>
      </x:c>
    </x:row>
    <x:row r="215">
      <x:c r="A215" s="40"/>
      <x:c r="I215" s="42"/>
      <x:c r="J215" s="42" t="str">
        <x:f>IF(OR(H215="",I215=""),"",H215*I215)</x:f>
      </x:c>
      <x:c r="K215" s="40"/>
      <x:c r="L215" t="str">
        <x:f>IF(K215="","",A215-K215)</x:f>
      </x:c>
      <x:c r="M215" t="str">
        <x:f>IF(L215="","",IF(N215="Yes","Strategic Legacy",IF(L215&lt;=90,"Active",IF(L215&lt;=180,"Monitor",IF(L215&lt;=365,"Slow-Moving",IF(L215&lt;=730,"Excess","Obsolete"))))))</x:f>
      </x:c>
    </x:row>
    <x:row r="216">
      <x:c r="A216" s="40"/>
      <x:c r="I216" s="42"/>
      <x:c r="J216" s="42" t="str">
        <x:f>IF(OR(H216="",I216=""),"",H216*I216)</x:f>
      </x:c>
      <x:c r="K216" s="40"/>
      <x:c r="L216" t="str">
        <x:f>IF(K216="","",A216-K216)</x:f>
      </x:c>
      <x:c r="M216" t="str">
        <x:f>IF(L216="","",IF(N216="Yes","Strategic Legacy",IF(L216&lt;=90,"Active",IF(L216&lt;=180,"Monitor",IF(L216&lt;=365,"Slow-Moving",IF(L216&lt;=730,"Excess","Obsolete"))))))</x:f>
      </x:c>
    </x:row>
    <x:row r="217">
      <x:c r="A217" s="40"/>
      <x:c r="I217" s="42"/>
      <x:c r="J217" s="42" t="str">
        <x:f>IF(OR(H217="",I217=""),"",H217*I217)</x:f>
      </x:c>
      <x:c r="K217" s="40"/>
      <x:c r="L217" t="str">
        <x:f>IF(K217="","",A217-K217)</x:f>
      </x:c>
      <x:c r="M217" t="str">
        <x:f>IF(L217="","",IF(N217="Yes","Strategic Legacy",IF(L217&lt;=90,"Active",IF(L217&lt;=180,"Monitor",IF(L217&lt;=365,"Slow-Moving",IF(L217&lt;=730,"Excess","Obsolete"))))))</x:f>
      </x:c>
    </x:row>
    <x:row r="218">
      <x:c r="A218" s="40"/>
      <x:c r="I218" s="42"/>
      <x:c r="J218" s="42" t="str">
        <x:f>IF(OR(H218="",I218=""),"",H218*I218)</x:f>
      </x:c>
      <x:c r="K218" s="40"/>
      <x:c r="L218" t="str">
        <x:f>IF(K218="","",A218-K218)</x:f>
      </x:c>
      <x:c r="M218" t="str">
        <x:f>IF(L218="","",IF(N218="Yes","Strategic Legacy",IF(L218&lt;=90,"Active",IF(L218&lt;=180,"Monitor",IF(L218&lt;=365,"Slow-Moving",IF(L218&lt;=730,"Excess","Obsolete"))))))</x:f>
      </x:c>
    </x:row>
    <x:row r="219">
      <x:c r="A219" s="40"/>
      <x:c r="I219" s="42"/>
      <x:c r="J219" s="42" t="str">
        <x:f>IF(OR(H219="",I219=""),"",H219*I219)</x:f>
      </x:c>
      <x:c r="K219" s="40"/>
      <x:c r="L219" t="str">
        <x:f>IF(K219="","",A219-K219)</x:f>
      </x:c>
      <x:c r="M219" t="str">
        <x:f>IF(L219="","",IF(N219="Yes","Strategic Legacy",IF(L219&lt;=90,"Active",IF(L219&lt;=180,"Monitor",IF(L219&lt;=365,"Slow-Moving",IF(L219&lt;=730,"Excess","Obsolete"))))))</x:f>
      </x:c>
    </x:row>
    <x:row r="220">
      <x:c r="A220" s="40"/>
      <x:c r="I220" s="42"/>
      <x:c r="J220" s="42" t="str">
        <x:f>IF(OR(H220="",I220=""),"",H220*I220)</x:f>
      </x:c>
      <x:c r="K220" s="40"/>
      <x:c r="L220" t="str">
        <x:f>IF(K220="","",A220-K220)</x:f>
      </x:c>
      <x:c r="M220" t="str">
        <x:f>IF(L220="","",IF(N220="Yes","Strategic Legacy",IF(L220&lt;=90,"Active",IF(L220&lt;=180,"Monitor",IF(L220&lt;=365,"Slow-Moving",IF(L220&lt;=730,"Excess","Obsolete"))))))</x:f>
      </x:c>
    </x:row>
    <x:row r="221">
      <x:c r="A221" s="40"/>
      <x:c r="I221" s="42"/>
      <x:c r="J221" s="42" t="str">
        <x:f>IF(OR(H221="",I221=""),"",H221*I221)</x:f>
      </x:c>
      <x:c r="K221" s="40"/>
      <x:c r="L221" t="str">
        <x:f>IF(K221="","",A221-K221)</x:f>
      </x:c>
      <x:c r="M221" t="str">
        <x:f>IF(L221="","",IF(N221="Yes","Strategic Legacy",IF(L221&lt;=90,"Active",IF(L221&lt;=180,"Monitor",IF(L221&lt;=365,"Slow-Moving",IF(L221&lt;=730,"Excess","Obsolete"))))))</x:f>
      </x:c>
    </x:row>
    <x:row r="222">
      <x:c r="A222" s="40"/>
      <x:c r="I222" s="42"/>
      <x:c r="J222" s="42" t="str">
        <x:f>IF(OR(H222="",I222=""),"",H222*I222)</x:f>
      </x:c>
      <x:c r="K222" s="40"/>
      <x:c r="L222" t="str">
        <x:f>IF(K222="","",A222-K222)</x:f>
      </x:c>
      <x:c r="M222" t="str">
        <x:f>IF(L222="","",IF(N222="Yes","Strategic Legacy",IF(L222&lt;=90,"Active",IF(L222&lt;=180,"Monitor",IF(L222&lt;=365,"Slow-Moving",IF(L222&lt;=730,"Excess","Obsolete"))))))</x:f>
      </x:c>
    </x:row>
    <x:row r="223">
      <x:c r="A223" s="40"/>
      <x:c r="I223" s="42"/>
      <x:c r="J223" s="42" t="str">
        <x:f>IF(OR(H223="",I223=""),"",H223*I223)</x:f>
      </x:c>
      <x:c r="K223" s="40"/>
      <x:c r="L223" t="str">
        <x:f>IF(K223="","",A223-K223)</x:f>
      </x:c>
      <x:c r="M223" t="str">
        <x:f>IF(L223="","",IF(N223="Yes","Strategic Legacy",IF(L223&lt;=90,"Active",IF(L223&lt;=180,"Monitor",IF(L223&lt;=365,"Slow-Moving",IF(L223&lt;=730,"Excess","Obsolete"))))))</x:f>
      </x:c>
    </x:row>
    <x:row r="224">
      <x:c r="A224" s="40"/>
      <x:c r="I224" s="42"/>
      <x:c r="J224" s="42" t="str">
        <x:f>IF(OR(H224="",I224=""),"",H224*I224)</x:f>
      </x:c>
      <x:c r="K224" s="40"/>
      <x:c r="L224" t="str">
        <x:f>IF(K224="","",A224-K224)</x:f>
      </x:c>
      <x:c r="M224" t="str">
        <x:f>IF(L224="","",IF(N224="Yes","Strategic Legacy",IF(L224&lt;=90,"Active",IF(L224&lt;=180,"Monitor",IF(L224&lt;=365,"Slow-Moving",IF(L224&lt;=730,"Excess","Obsolete"))))))</x:f>
      </x:c>
    </x:row>
    <x:row r="225">
      <x:c r="A225" s="40"/>
      <x:c r="I225" s="42"/>
      <x:c r="J225" s="42" t="str">
        <x:f>IF(OR(H225="",I225=""),"",H225*I225)</x:f>
      </x:c>
      <x:c r="K225" s="40"/>
      <x:c r="L225" t="str">
        <x:f>IF(K225="","",A225-K225)</x:f>
      </x:c>
      <x:c r="M225" t="str">
        <x:f>IF(L225="","",IF(N225="Yes","Strategic Legacy",IF(L225&lt;=90,"Active",IF(L225&lt;=180,"Monitor",IF(L225&lt;=365,"Slow-Moving",IF(L225&lt;=730,"Excess","Obsolete"))))))</x:f>
      </x:c>
    </x:row>
    <x:row r="226">
      <x:c r="A226" s="40"/>
      <x:c r="I226" s="42"/>
      <x:c r="J226" s="42" t="str">
        <x:f>IF(OR(H226="",I226=""),"",H226*I226)</x:f>
      </x:c>
      <x:c r="K226" s="40"/>
      <x:c r="L226" t="str">
        <x:f>IF(K226="","",A226-K226)</x:f>
      </x:c>
      <x:c r="M226" t="str">
        <x:f>IF(L226="","",IF(N226="Yes","Strategic Legacy",IF(L226&lt;=90,"Active",IF(L226&lt;=180,"Monitor",IF(L226&lt;=365,"Slow-Moving",IF(L226&lt;=730,"Excess","Obsolete"))))))</x:f>
      </x:c>
    </x:row>
    <x:row r="227">
      <x:c r="A227" s="40"/>
      <x:c r="I227" s="42"/>
      <x:c r="J227" s="42" t="str">
        <x:f>IF(OR(H227="",I227=""),"",H227*I227)</x:f>
      </x:c>
      <x:c r="K227" s="40"/>
      <x:c r="L227" t="str">
        <x:f>IF(K227="","",A227-K227)</x:f>
      </x:c>
      <x:c r="M227" t="str">
        <x:f>IF(L227="","",IF(N227="Yes","Strategic Legacy",IF(L227&lt;=90,"Active",IF(L227&lt;=180,"Monitor",IF(L227&lt;=365,"Slow-Moving",IF(L227&lt;=730,"Excess","Obsolete"))))))</x:f>
      </x:c>
    </x:row>
    <x:row r="228">
      <x:c r="A228" s="40"/>
      <x:c r="I228" s="42"/>
      <x:c r="J228" s="42" t="str">
        <x:f>IF(OR(H228="",I228=""),"",H228*I228)</x:f>
      </x:c>
      <x:c r="K228" s="40"/>
      <x:c r="L228" t="str">
        <x:f>IF(K228="","",A228-K228)</x:f>
      </x:c>
      <x:c r="M228" t="str">
        <x:f>IF(L228="","",IF(N228="Yes","Strategic Legacy",IF(L228&lt;=90,"Active",IF(L228&lt;=180,"Monitor",IF(L228&lt;=365,"Slow-Moving",IF(L228&lt;=730,"Excess","Obsolete"))))))</x:f>
      </x:c>
    </x:row>
    <x:row r="229">
      <x:c r="A229" s="40"/>
      <x:c r="I229" s="42"/>
      <x:c r="J229" s="42" t="str">
        <x:f>IF(OR(H229="",I229=""),"",H229*I229)</x:f>
      </x:c>
      <x:c r="K229" s="40"/>
      <x:c r="L229" t="str">
        <x:f>IF(K229="","",A229-K229)</x:f>
      </x:c>
      <x:c r="M229" t="str">
        <x:f>IF(L229="","",IF(N229="Yes","Strategic Legacy",IF(L229&lt;=90,"Active",IF(L229&lt;=180,"Monitor",IF(L229&lt;=365,"Slow-Moving",IF(L229&lt;=730,"Excess","Obsolete"))))))</x:f>
      </x:c>
    </x:row>
    <x:row r="230">
      <x:c r="A230" s="40"/>
      <x:c r="I230" s="42"/>
      <x:c r="J230" s="42" t="str">
        <x:f>IF(OR(H230="",I230=""),"",H230*I230)</x:f>
      </x:c>
      <x:c r="K230" s="40"/>
      <x:c r="L230" t="str">
        <x:f>IF(K230="","",A230-K230)</x:f>
      </x:c>
      <x:c r="M230" t="str">
        <x:f>IF(L230="","",IF(N230="Yes","Strategic Legacy",IF(L230&lt;=90,"Active",IF(L230&lt;=180,"Monitor",IF(L230&lt;=365,"Slow-Moving",IF(L230&lt;=730,"Excess","Obsolete"))))))</x:f>
      </x:c>
    </x:row>
    <x:row r="231">
      <x:c r="A231" s="40"/>
      <x:c r="I231" s="42"/>
      <x:c r="J231" s="42" t="str">
        <x:f>IF(OR(H231="",I231=""),"",H231*I231)</x:f>
      </x:c>
      <x:c r="K231" s="40"/>
      <x:c r="L231" t="str">
        <x:f>IF(K231="","",A231-K231)</x:f>
      </x:c>
      <x:c r="M231" t="str">
        <x:f>IF(L231="","",IF(N231="Yes","Strategic Legacy",IF(L231&lt;=90,"Active",IF(L231&lt;=180,"Monitor",IF(L231&lt;=365,"Slow-Moving",IF(L231&lt;=730,"Excess","Obsolete"))))))</x:f>
      </x:c>
    </x:row>
    <x:row r="232">
      <x:c r="A232" s="40"/>
      <x:c r="I232" s="42"/>
      <x:c r="J232" s="42" t="str">
        <x:f>IF(OR(H232="",I232=""),"",H232*I232)</x:f>
      </x:c>
      <x:c r="K232" s="40"/>
      <x:c r="L232" t="str">
        <x:f>IF(K232="","",A232-K232)</x:f>
      </x:c>
      <x:c r="M232" t="str">
        <x:f>IF(L232="","",IF(N232="Yes","Strategic Legacy",IF(L232&lt;=90,"Active",IF(L232&lt;=180,"Monitor",IF(L232&lt;=365,"Slow-Moving",IF(L232&lt;=730,"Excess","Obsolete"))))))</x:f>
      </x:c>
    </x:row>
    <x:row r="233">
      <x:c r="A233" s="40"/>
      <x:c r="I233" s="42"/>
      <x:c r="J233" s="42" t="str">
        <x:f>IF(OR(H233="",I233=""),"",H233*I233)</x:f>
      </x:c>
      <x:c r="K233" s="40"/>
      <x:c r="L233" t="str">
        <x:f>IF(K233="","",A233-K233)</x:f>
      </x:c>
      <x:c r="M233" t="str">
        <x:f>IF(L233="","",IF(N233="Yes","Strategic Legacy",IF(L233&lt;=90,"Active",IF(L233&lt;=180,"Monitor",IF(L233&lt;=365,"Slow-Moving",IF(L233&lt;=730,"Excess","Obsolete"))))))</x:f>
      </x:c>
    </x:row>
    <x:row r="234">
      <x:c r="A234" s="40"/>
      <x:c r="I234" s="42"/>
      <x:c r="J234" s="42" t="str">
        <x:f>IF(OR(H234="",I234=""),"",H234*I234)</x:f>
      </x:c>
      <x:c r="K234" s="40"/>
      <x:c r="L234" t="str">
        <x:f>IF(K234="","",A234-K234)</x:f>
      </x:c>
      <x:c r="M234" t="str">
        <x:f>IF(L234="","",IF(N234="Yes","Strategic Legacy",IF(L234&lt;=90,"Active",IF(L234&lt;=180,"Monitor",IF(L234&lt;=365,"Slow-Moving",IF(L234&lt;=730,"Excess","Obsolete"))))))</x:f>
      </x:c>
    </x:row>
    <x:row r="235">
      <x:c r="A235" s="40"/>
      <x:c r="I235" s="42"/>
      <x:c r="J235" s="42" t="str">
        <x:f>IF(OR(H235="",I235=""),"",H235*I235)</x:f>
      </x:c>
      <x:c r="K235" s="40"/>
      <x:c r="L235" t="str">
        <x:f>IF(K235="","",A235-K235)</x:f>
      </x:c>
      <x:c r="M235" t="str">
        <x:f>IF(L235="","",IF(N235="Yes","Strategic Legacy",IF(L235&lt;=90,"Active",IF(L235&lt;=180,"Monitor",IF(L235&lt;=365,"Slow-Moving",IF(L235&lt;=730,"Excess","Obsolete"))))))</x:f>
      </x:c>
    </x:row>
    <x:row r="236">
      <x:c r="A236" s="40"/>
      <x:c r="I236" s="42"/>
      <x:c r="J236" s="42" t="str">
        <x:f>IF(OR(H236="",I236=""),"",H236*I236)</x:f>
      </x:c>
      <x:c r="K236" s="40"/>
      <x:c r="L236" t="str">
        <x:f>IF(K236="","",A236-K236)</x:f>
      </x:c>
      <x:c r="M236" t="str">
        <x:f>IF(L236="","",IF(N236="Yes","Strategic Legacy",IF(L236&lt;=90,"Active",IF(L236&lt;=180,"Monitor",IF(L236&lt;=365,"Slow-Moving",IF(L236&lt;=730,"Excess","Obsolete"))))))</x:f>
      </x:c>
    </x:row>
    <x:row r="237">
      <x:c r="A237" s="40"/>
      <x:c r="I237" s="42"/>
      <x:c r="J237" s="42" t="str">
        <x:f>IF(OR(H237="",I237=""),"",H237*I237)</x:f>
      </x:c>
      <x:c r="K237" s="40"/>
      <x:c r="L237" t="str">
        <x:f>IF(K237="","",A237-K237)</x:f>
      </x:c>
      <x:c r="M237" t="str">
        <x:f>IF(L237="","",IF(N237="Yes","Strategic Legacy",IF(L237&lt;=90,"Active",IF(L237&lt;=180,"Monitor",IF(L237&lt;=365,"Slow-Moving",IF(L237&lt;=730,"Excess","Obsolete"))))))</x:f>
      </x:c>
    </x:row>
    <x:row r="238">
      <x:c r="A238" s="40"/>
      <x:c r="I238" s="42"/>
      <x:c r="J238" s="42" t="str">
        <x:f>IF(OR(H238="",I238=""),"",H238*I238)</x:f>
      </x:c>
      <x:c r="K238" s="40"/>
      <x:c r="L238" t="str">
        <x:f>IF(K238="","",A238-K238)</x:f>
      </x:c>
      <x:c r="M238" t="str">
        <x:f>IF(L238="","",IF(N238="Yes","Strategic Legacy",IF(L238&lt;=90,"Active",IF(L238&lt;=180,"Monitor",IF(L238&lt;=365,"Slow-Moving",IF(L238&lt;=730,"Excess","Obsolete"))))))</x:f>
      </x:c>
    </x:row>
    <x:row r="239">
      <x:c r="A239" s="40"/>
      <x:c r="I239" s="42"/>
      <x:c r="J239" s="42" t="str">
        <x:f>IF(OR(H239="",I239=""),"",H239*I239)</x:f>
      </x:c>
      <x:c r="K239" s="40"/>
      <x:c r="L239" t="str">
        <x:f>IF(K239="","",A239-K239)</x:f>
      </x:c>
      <x:c r="M239" t="str">
        <x:f>IF(L239="","",IF(N239="Yes","Strategic Legacy",IF(L239&lt;=90,"Active",IF(L239&lt;=180,"Monitor",IF(L239&lt;=365,"Slow-Moving",IF(L239&lt;=730,"Excess","Obsolete"))))))</x:f>
      </x:c>
    </x:row>
    <x:row r="240">
      <x:c r="A240" s="40"/>
      <x:c r="I240" s="42"/>
      <x:c r="J240" s="42" t="str">
        <x:f>IF(OR(H240="",I240=""),"",H240*I240)</x:f>
      </x:c>
      <x:c r="K240" s="40"/>
      <x:c r="L240" t="str">
        <x:f>IF(K240="","",A240-K240)</x:f>
      </x:c>
      <x:c r="M240" t="str">
        <x:f>IF(L240="","",IF(N240="Yes","Strategic Legacy",IF(L240&lt;=90,"Active",IF(L240&lt;=180,"Monitor",IF(L240&lt;=365,"Slow-Moving",IF(L240&lt;=730,"Excess","Obsolete"))))))</x:f>
      </x:c>
    </x:row>
    <x:row r="241">
      <x:c r="A241" s="40"/>
      <x:c r="I241" s="42"/>
      <x:c r="J241" s="42" t="str">
        <x:f>IF(OR(H241="",I241=""),"",H241*I241)</x:f>
      </x:c>
      <x:c r="K241" s="40"/>
      <x:c r="L241" t="str">
        <x:f>IF(K241="","",A241-K241)</x:f>
      </x:c>
      <x:c r="M241" t="str">
        <x:f>IF(L241="","",IF(N241="Yes","Strategic Legacy",IF(L241&lt;=90,"Active",IF(L241&lt;=180,"Monitor",IF(L241&lt;=365,"Slow-Moving",IF(L241&lt;=730,"Excess","Obsolete"))))))</x:f>
      </x:c>
    </x:row>
    <x:row r="242">
      <x:c r="A242" s="40"/>
      <x:c r="I242" s="42"/>
      <x:c r="J242" s="42" t="str">
        <x:f>IF(OR(H242="",I242=""),"",H242*I242)</x:f>
      </x:c>
      <x:c r="K242" s="40"/>
      <x:c r="L242" t="str">
        <x:f>IF(K242="","",A242-K242)</x:f>
      </x:c>
      <x:c r="M242" t="str">
        <x:f>IF(L242="","",IF(N242="Yes","Strategic Legacy",IF(L242&lt;=90,"Active",IF(L242&lt;=180,"Monitor",IF(L242&lt;=365,"Slow-Moving",IF(L242&lt;=730,"Excess","Obsolete"))))))</x:f>
      </x:c>
    </x:row>
    <x:row r="243">
      <x:c r="A243" s="40"/>
      <x:c r="I243" s="42"/>
      <x:c r="J243" s="42" t="str">
        <x:f>IF(OR(H243="",I243=""),"",H243*I243)</x:f>
      </x:c>
      <x:c r="K243" s="40"/>
      <x:c r="L243" t="str">
        <x:f>IF(K243="","",A243-K243)</x:f>
      </x:c>
      <x:c r="M243" t="str">
        <x:f>IF(L243="","",IF(N243="Yes","Strategic Legacy",IF(L243&lt;=90,"Active",IF(L243&lt;=180,"Monitor",IF(L243&lt;=365,"Slow-Moving",IF(L243&lt;=730,"Excess","Obsolete"))))))</x:f>
      </x:c>
    </x:row>
    <x:row r="244">
      <x:c r="A244" s="40"/>
      <x:c r="I244" s="42"/>
      <x:c r="J244" s="42" t="str">
        <x:f>IF(OR(H244="",I244=""),"",H244*I244)</x:f>
      </x:c>
      <x:c r="K244" s="40"/>
      <x:c r="L244" t="str">
        <x:f>IF(K244="","",A244-K244)</x:f>
      </x:c>
      <x:c r="M244" t="str">
        <x:f>IF(L244="","",IF(N244="Yes","Strategic Legacy",IF(L244&lt;=90,"Active",IF(L244&lt;=180,"Monitor",IF(L244&lt;=365,"Slow-Moving",IF(L244&lt;=730,"Excess","Obsolete"))))))</x:f>
      </x:c>
    </x:row>
    <x:row r="245">
      <x:c r="A245" s="40"/>
      <x:c r="I245" s="42"/>
      <x:c r="J245" s="42" t="str">
        <x:f>IF(OR(H245="",I245=""),"",H245*I245)</x:f>
      </x:c>
      <x:c r="K245" s="40"/>
      <x:c r="L245" t="str">
        <x:f>IF(K245="","",A245-K245)</x:f>
      </x:c>
      <x:c r="M245" t="str">
        <x:f>IF(L245="","",IF(N245="Yes","Strategic Legacy",IF(L245&lt;=90,"Active",IF(L245&lt;=180,"Monitor",IF(L245&lt;=365,"Slow-Moving",IF(L245&lt;=730,"Excess","Obsolete"))))))</x:f>
      </x:c>
    </x:row>
    <x:row r="246">
      <x:c r="A246" s="40"/>
      <x:c r="I246" s="42"/>
      <x:c r="J246" s="42" t="str">
        <x:f>IF(OR(H246="",I246=""),"",H246*I246)</x:f>
      </x:c>
      <x:c r="K246" s="40"/>
      <x:c r="L246" t="str">
        <x:f>IF(K246="","",A246-K246)</x:f>
      </x:c>
      <x:c r="M246" t="str">
        <x:f>IF(L246="","",IF(N246="Yes","Strategic Legacy",IF(L246&lt;=90,"Active",IF(L246&lt;=180,"Monitor",IF(L246&lt;=365,"Slow-Moving",IF(L246&lt;=730,"Excess","Obsolete"))))))</x:f>
      </x:c>
    </x:row>
    <x:row r="247">
      <x:c r="A247" s="40"/>
      <x:c r="I247" s="42"/>
      <x:c r="J247" s="42" t="str">
        <x:f>IF(OR(H247="",I247=""),"",H247*I247)</x:f>
      </x:c>
      <x:c r="K247" s="40"/>
      <x:c r="L247" t="str">
        <x:f>IF(K247="","",A247-K247)</x:f>
      </x:c>
      <x:c r="M247" t="str">
        <x:f>IF(L247="","",IF(N247="Yes","Strategic Legacy",IF(L247&lt;=90,"Active",IF(L247&lt;=180,"Monitor",IF(L247&lt;=365,"Slow-Moving",IF(L247&lt;=730,"Excess","Obsolete"))))))</x:f>
      </x:c>
    </x:row>
    <x:row r="248">
      <x:c r="A248" s="40"/>
      <x:c r="I248" s="42"/>
      <x:c r="J248" s="42" t="str">
        <x:f>IF(OR(H248="",I248=""),"",H248*I248)</x:f>
      </x:c>
      <x:c r="K248" s="40"/>
      <x:c r="L248" t="str">
        <x:f>IF(K248="","",A248-K248)</x:f>
      </x:c>
      <x:c r="M248" t="str">
        <x:f>IF(L248="","",IF(N248="Yes","Strategic Legacy",IF(L248&lt;=90,"Active",IF(L248&lt;=180,"Monitor",IF(L248&lt;=365,"Slow-Moving",IF(L248&lt;=730,"Excess","Obsolete"))))))</x:f>
      </x:c>
    </x:row>
    <x:row r="249">
      <x:c r="A249" s="40"/>
      <x:c r="I249" s="42"/>
      <x:c r="J249" s="42" t="str">
        <x:f>IF(OR(H249="",I249=""),"",H249*I249)</x:f>
      </x:c>
      <x:c r="K249" s="40"/>
      <x:c r="L249" t="str">
        <x:f>IF(K249="","",A249-K249)</x:f>
      </x:c>
      <x:c r="M249" t="str">
        <x:f>IF(L249="","",IF(N249="Yes","Strategic Legacy",IF(L249&lt;=90,"Active",IF(L249&lt;=180,"Monitor",IF(L249&lt;=365,"Slow-Moving",IF(L249&lt;=730,"Excess","Obsolete"))))))</x:f>
      </x:c>
    </x:row>
    <x:row r="250">
      <x:c r="A250" s="40"/>
      <x:c r="I250" s="42"/>
      <x:c r="J250" s="42" t="str">
        <x:f>IF(OR(H250="",I250=""),"",H250*I250)</x:f>
      </x:c>
      <x:c r="K250" s="40"/>
      <x:c r="L250" t="str">
        <x:f>IF(K250="","",A250-K250)</x:f>
      </x:c>
      <x:c r="M250" t="str">
        <x:f>IF(L250="","",IF(N250="Yes","Strategic Legacy",IF(L250&lt;=90,"Active",IF(L250&lt;=180,"Monitor",IF(L250&lt;=365,"Slow-Moving",IF(L250&lt;=730,"Excess","Obsolete"))))))</x:f>
      </x:c>
    </x:row>
    <x:row r="251">
      <x:c r="A251" s="40"/>
      <x:c r="I251" s="42"/>
      <x:c r="J251" s="42" t="str">
        <x:f>IF(OR(H251="",I251=""),"",H251*I251)</x:f>
      </x:c>
      <x:c r="K251" s="40"/>
      <x:c r="L251" t="str">
        <x:f>IF(K251="","",A251-K251)</x:f>
      </x:c>
      <x:c r="M251" t="str">
        <x:f>IF(L251="","",IF(N251="Yes","Strategic Legacy",IF(L251&lt;=90,"Active",IF(L251&lt;=180,"Monitor",IF(L251&lt;=365,"Slow-Moving",IF(L251&lt;=730,"Excess","Obsolete"))))))</x:f>
      </x:c>
    </x:row>
    <x:row r="252">
      <x:c r="A252" s="40"/>
      <x:c r="I252" s="42"/>
      <x:c r="J252" s="42" t="str">
        <x:f>IF(OR(H252="",I252=""),"",H252*I252)</x:f>
      </x:c>
      <x:c r="K252" s="40"/>
      <x:c r="L252" t="str">
        <x:f>IF(K252="","",A252-K252)</x:f>
      </x:c>
      <x:c r="M252" t="str">
        <x:f>IF(L252="","",IF(N252="Yes","Strategic Legacy",IF(L252&lt;=90,"Active",IF(L252&lt;=180,"Monitor",IF(L252&lt;=365,"Slow-Moving",IF(L252&lt;=730,"Excess","Obsolete"))))))</x:f>
      </x:c>
    </x:row>
    <x:row r="253">
      <x:c r="A253" s="40"/>
      <x:c r="I253" s="42"/>
      <x:c r="J253" s="42" t="str">
        <x:f>IF(OR(H253="",I253=""),"",H253*I253)</x:f>
      </x:c>
      <x:c r="K253" s="40"/>
      <x:c r="L253" t="str">
        <x:f>IF(K253="","",A253-K253)</x:f>
      </x:c>
      <x:c r="M253" t="str">
        <x:f>IF(L253="","",IF(N253="Yes","Strategic Legacy",IF(L253&lt;=90,"Active",IF(L253&lt;=180,"Monitor",IF(L253&lt;=365,"Slow-Moving",IF(L253&lt;=730,"Excess","Obsolete"))))))</x:f>
      </x:c>
    </x:row>
    <x:row r="254">
      <x:c r="A254" s="40"/>
      <x:c r="I254" s="42"/>
      <x:c r="J254" s="42" t="str">
        <x:f>IF(OR(H254="",I254=""),"",H254*I254)</x:f>
      </x:c>
      <x:c r="K254" s="40"/>
      <x:c r="L254" t="str">
        <x:f>IF(K254="","",A254-K254)</x:f>
      </x:c>
      <x:c r="M254" t="str">
        <x:f>IF(L254="","",IF(N254="Yes","Strategic Legacy",IF(L254&lt;=90,"Active",IF(L254&lt;=180,"Monitor",IF(L254&lt;=365,"Slow-Moving",IF(L254&lt;=730,"Excess","Obsolete"))))))</x:f>
      </x:c>
    </x:row>
    <x:row r="255">
      <x:c r="A255" s="40"/>
      <x:c r="I255" s="42"/>
      <x:c r="J255" s="42" t="str">
        <x:f>IF(OR(H255="",I255=""),"",H255*I255)</x:f>
      </x:c>
      <x:c r="K255" s="40"/>
      <x:c r="L255" t="str">
        <x:f>IF(K255="","",A255-K255)</x:f>
      </x:c>
      <x:c r="M255" t="str">
        <x:f>IF(L255="","",IF(N255="Yes","Strategic Legacy",IF(L255&lt;=90,"Active",IF(L255&lt;=180,"Monitor",IF(L255&lt;=365,"Slow-Moving",IF(L255&lt;=730,"Excess","Obsolete"))))))</x:f>
      </x:c>
    </x:row>
    <x:row r="256">
      <x:c r="A256" s="40"/>
      <x:c r="I256" s="42"/>
      <x:c r="J256" s="42" t="str">
        <x:f>IF(OR(H256="",I256=""),"",H256*I256)</x:f>
      </x:c>
      <x:c r="K256" s="40"/>
      <x:c r="L256" t="str">
        <x:f>IF(K256="","",A256-K256)</x:f>
      </x:c>
      <x:c r="M256" t="str">
        <x:f>IF(L256="","",IF(N256="Yes","Strategic Legacy",IF(L256&lt;=90,"Active",IF(L256&lt;=180,"Monitor",IF(L256&lt;=365,"Slow-Moving",IF(L256&lt;=730,"Excess","Obsolete"))))))</x:f>
      </x:c>
    </x:row>
    <x:row r="257">
      <x:c r="A257" s="40"/>
      <x:c r="I257" s="42"/>
      <x:c r="J257" s="42" t="str">
        <x:f>IF(OR(H257="",I257=""),"",H257*I257)</x:f>
      </x:c>
      <x:c r="K257" s="40"/>
      <x:c r="L257" t="str">
        <x:f>IF(K257="","",A257-K257)</x:f>
      </x:c>
      <x:c r="M257" t="str">
        <x:f>IF(L257="","",IF(N257="Yes","Strategic Legacy",IF(L257&lt;=90,"Active",IF(L257&lt;=180,"Monitor",IF(L257&lt;=365,"Slow-Moving",IF(L257&lt;=730,"Excess","Obsolete"))))))</x:f>
      </x:c>
    </x:row>
    <x:row r="258">
      <x:c r="A258" s="40"/>
      <x:c r="I258" s="42"/>
      <x:c r="J258" s="42" t="str">
        <x:f>IF(OR(H258="",I258=""),"",H258*I258)</x:f>
      </x:c>
      <x:c r="K258" s="40"/>
      <x:c r="L258" t="str">
        <x:f>IF(K258="","",A258-K258)</x:f>
      </x:c>
      <x:c r="M258" t="str">
        <x:f>IF(L258="","",IF(N258="Yes","Strategic Legacy",IF(L258&lt;=90,"Active",IF(L258&lt;=180,"Monitor",IF(L258&lt;=365,"Slow-Moving",IF(L258&lt;=730,"Excess","Obsolete"))))))</x:f>
      </x:c>
    </x:row>
    <x:row r="259">
      <x:c r="A259" s="40"/>
      <x:c r="I259" s="42"/>
      <x:c r="J259" s="42" t="str">
        <x:f>IF(OR(H259="",I259=""),"",H259*I259)</x:f>
      </x:c>
      <x:c r="K259" s="40"/>
      <x:c r="L259" t="str">
        <x:f>IF(K259="","",A259-K259)</x:f>
      </x:c>
      <x:c r="M259" t="str">
        <x:f>IF(L259="","",IF(N259="Yes","Strategic Legacy",IF(L259&lt;=90,"Active",IF(L259&lt;=180,"Monitor",IF(L259&lt;=365,"Slow-Moving",IF(L259&lt;=730,"Excess","Obsolete"))))))</x:f>
      </x:c>
    </x:row>
    <x:row r="260">
      <x:c r="A260" s="40"/>
      <x:c r="I260" s="42"/>
      <x:c r="J260" s="42" t="str">
        <x:f>IF(OR(H260="",I260=""),"",H260*I260)</x:f>
      </x:c>
      <x:c r="K260" s="40"/>
      <x:c r="L260" t="str">
        <x:f>IF(K260="","",A260-K260)</x:f>
      </x:c>
      <x:c r="M260" t="str">
        <x:f>IF(L260="","",IF(N260="Yes","Strategic Legacy",IF(L260&lt;=90,"Active",IF(L260&lt;=180,"Monitor",IF(L260&lt;=365,"Slow-Moving",IF(L260&lt;=730,"Excess","Obsolete"))))))</x:f>
      </x:c>
    </x:row>
    <x:row r="261">
      <x:c r="A261" s="40"/>
      <x:c r="I261" s="42"/>
      <x:c r="J261" s="42" t="str">
        <x:f>IF(OR(H261="",I261=""),"",H261*I261)</x:f>
      </x:c>
      <x:c r="K261" s="40"/>
      <x:c r="L261" t="str">
        <x:f>IF(K261="","",A261-K261)</x:f>
      </x:c>
      <x:c r="M261" t="str">
        <x:f>IF(L261="","",IF(N261="Yes","Strategic Legacy",IF(L261&lt;=90,"Active",IF(L261&lt;=180,"Monitor",IF(L261&lt;=365,"Slow-Moving",IF(L261&lt;=730,"Excess","Obsolete"))))))</x:f>
      </x:c>
    </x:row>
    <x:row r="262">
      <x:c r="A262" s="40"/>
      <x:c r="I262" s="42"/>
      <x:c r="J262" s="42" t="str">
        <x:f>IF(OR(H262="",I262=""),"",H262*I262)</x:f>
      </x:c>
      <x:c r="K262" s="40"/>
      <x:c r="L262" t="str">
        <x:f>IF(K262="","",A262-K262)</x:f>
      </x:c>
      <x:c r="M262" t="str">
        <x:f>IF(L262="","",IF(N262="Yes","Strategic Legacy",IF(L262&lt;=90,"Active",IF(L262&lt;=180,"Monitor",IF(L262&lt;=365,"Slow-Moving",IF(L262&lt;=730,"Excess","Obsolete"))))))</x:f>
      </x:c>
    </x:row>
    <x:row r="263">
      <x:c r="A263" s="40"/>
      <x:c r="I263" s="42"/>
      <x:c r="J263" s="42" t="str">
        <x:f>IF(OR(H263="",I263=""),"",H263*I263)</x:f>
      </x:c>
      <x:c r="K263" s="40"/>
      <x:c r="L263" t="str">
        <x:f>IF(K263="","",A263-K263)</x:f>
      </x:c>
      <x:c r="M263" t="str">
        <x:f>IF(L263="","",IF(N263="Yes","Strategic Legacy",IF(L263&lt;=90,"Active",IF(L263&lt;=180,"Monitor",IF(L263&lt;=365,"Slow-Moving",IF(L263&lt;=730,"Excess","Obsolete"))))))</x:f>
      </x:c>
    </x:row>
    <x:row r="264">
      <x:c r="A264" s="40"/>
      <x:c r="I264" s="42"/>
      <x:c r="J264" s="42" t="str">
        <x:f>IF(OR(H264="",I264=""),"",H264*I264)</x:f>
      </x:c>
      <x:c r="K264" s="40"/>
      <x:c r="L264" t="str">
        <x:f>IF(K264="","",A264-K264)</x:f>
      </x:c>
      <x:c r="M264" t="str">
        <x:f>IF(L264="","",IF(N264="Yes","Strategic Legacy",IF(L264&lt;=90,"Active",IF(L264&lt;=180,"Monitor",IF(L264&lt;=365,"Slow-Moving",IF(L264&lt;=730,"Excess","Obsolete"))))))</x:f>
      </x:c>
    </x:row>
    <x:row r="265">
      <x:c r="A265" s="40"/>
      <x:c r="I265" s="42"/>
      <x:c r="J265" s="42" t="str">
        <x:f>IF(OR(H265="",I265=""),"",H265*I265)</x:f>
      </x:c>
      <x:c r="K265" s="40"/>
      <x:c r="L265" t="str">
        <x:f>IF(K265="","",A265-K265)</x:f>
      </x:c>
      <x:c r="M265" t="str">
        <x:f>IF(L265="","",IF(N265="Yes","Strategic Legacy",IF(L265&lt;=90,"Active",IF(L265&lt;=180,"Monitor",IF(L265&lt;=365,"Slow-Moving",IF(L265&lt;=730,"Excess","Obsolete"))))))</x:f>
      </x:c>
    </x:row>
    <x:row r="266">
      <x:c r="A266" s="40"/>
      <x:c r="I266" s="42"/>
      <x:c r="J266" s="42" t="str">
        <x:f>IF(OR(H266="",I266=""),"",H266*I266)</x:f>
      </x:c>
      <x:c r="K266" s="40"/>
      <x:c r="L266" t="str">
        <x:f>IF(K266="","",A266-K266)</x:f>
      </x:c>
      <x:c r="M266" t="str">
        <x:f>IF(L266="","",IF(N266="Yes","Strategic Legacy",IF(L266&lt;=90,"Active",IF(L266&lt;=180,"Monitor",IF(L266&lt;=365,"Slow-Moving",IF(L266&lt;=730,"Excess","Obsolete"))))))</x:f>
      </x:c>
    </x:row>
    <x:row r="267">
      <x:c r="A267" s="40"/>
      <x:c r="I267" s="42"/>
      <x:c r="J267" s="42" t="str">
        <x:f>IF(OR(H267="",I267=""),"",H267*I267)</x:f>
      </x:c>
      <x:c r="K267" s="40"/>
      <x:c r="L267" t="str">
        <x:f>IF(K267="","",A267-K267)</x:f>
      </x:c>
      <x:c r="M267" t="str">
        <x:f>IF(L267="","",IF(N267="Yes","Strategic Legacy",IF(L267&lt;=90,"Active",IF(L267&lt;=180,"Monitor",IF(L267&lt;=365,"Slow-Moving",IF(L267&lt;=730,"Excess","Obsolete"))))))</x:f>
      </x:c>
    </x:row>
    <x:row r="268">
      <x:c r="A268" s="40"/>
      <x:c r="I268" s="42"/>
      <x:c r="J268" s="42" t="str">
        <x:f>IF(OR(H268="",I268=""),"",H268*I268)</x:f>
      </x:c>
      <x:c r="K268" s="40"/>
      <x:c r="L268" t="str">
        <x:f>IF(K268="","",A268-K268)</x:f>
      </x:c>
      <x:c r="M268" t="str">
        <x:f>IF(L268="","",IF(N268="Yes","Strategic Legacy",IF(L268&lt;=90,"Active",IF(L268&lt;=180,"Monitor",IF(L268&lt;=365,"Slow-Moving",IF(L268&lt;=730,"Excess","Obsolete"))))))</x:f>
      </x:c>
    </x:row>
    <x:row r="269">
      <x:c r="A269" s="40"/>
      <x:c r="I269" s="42"/>
      <x:c r="J269" s="42" t="str">
        <x:f>IF(OR(H269="",I269=""),"",H269*I269)</x:f>
      </x:c>
      <x:c r="K269" s="40"/>
      <x:c r="L269" t="str">
        <x:f>IF(K269="","",A269-K269)</x:f>
      </x:c>
      <x:c r="M269" t="str">
        <x:f>IF(L269="","",IF(N269="Yes","Strategic Legacy",IF(L269&lt;=90,"Active",IF(L269&lt;=180,"Monitor",IF(L269&lt;=365,"Slow-Moving",IF(L269&lt;=730,"Excess","Obsolete"))))))</x:f>
      </x:c>
    </x:row>
    <x:row r="270">
      <x:c r="A270" s="40"/>
      <x:c r="I270" s="42"/>
      <x:c r="J270" s="42" t="str">
        <x:f>IF(OR(H270="",I270=""),"",H270*I270)</x:f>
      </x:c>
      <x:c r="K270" s="40"/>
      <x:c r="L270" t="str">
        <x:f>IF(K270="","",A270-K270)</x:f>
      </x:c>
      <x:c r="M270" t="str">
        <x:f>IF(L270="","",IF(N270="Yes","Strategic Legacy",IF(L270&lt;=90,"Active",IF(L270&lt;=180,"Monitor",IF(L270&lt;=365,"Slow-Moving",IF(L270&lt;=730,"Excess","Obsolete"))))))</x:f>
      </x:c>
    </x:row>
    <x:row r="271">
      <x:c r="A271" s="40"/>
      <x:c r="I271" s="42"/>
      <x:c r="J271" s="42" t="str">
        <x:f>IF(OR(H271="",I271=""),"",H271*I271)</x:f>
      </x:c>
      <x:c r="K271" s="40"/>
      <x:c r="L271" t="str">
        <x:f>IF(K271="","",A271-K271)</x:f>
      </x:c>
      <x:c r="M271" t="str">
        <x:f>IF(L271="","",IF(N271="Yes","Strategic Legacy",IF(L271&lt;=90,"Active",IF(L271&lt;=180,"Monitor",IF(L271&lt;=365,"Slow-Moving",IF(L271&lt;=730,"Excess","Obsolete"))))))</x:f>
      </x:c>
    </x:row>
    <x:row r="272">
      <x:c r="A272" s="40"/>
      <x:c r="I272" s="42"/>
      <x:c r="J272" s="42" t="str">
        <x:f>IF(OR(H272="",I272=""),"",H272*I272)</x:f>
      </x:c>
      <x:c r="K272" s="40"/>
      <x:c r="L272" t="str">
        <x:f>IF(K272="","",A272-K272)</x:f>
      </x:c>
      <x:c r="M272" t="str">
        <x:f>IF(L272="","",IF(N272="Yes","Strategic Legacy",IF(L272&lt;=90,"Active",IF(L272&lt;=180,"Monitor",IF(L272&lt;=365,"Slow-Moving",IF(L272&lt;=730,"Excess","Obsolete"))))))</x:f>
      </x:c>
    </x:row>
    <x:row r="273">
      <x:c r="A273" s="40"/>
      <x:c r="I273" s="42"/>
      <x:c r="J273" s="42" t="str">
        <x:f>IF(OR(H273="",I273=""),"",H273*I273)</x:f>
      </x:c>
      <x:c r="K273" s="40"/>
      <x:c r="L273" t="str">
        <x:f>IF(K273="","",A273-K273)</x:f>
      </x:c>
      <x:c r="M273" t="str">
        <x:f>IF(L273="","",IF(N273="Yes","Strategic Legacy",IF(L273&lt;=90,"Active",IF(L273&lt;=180,"Monitor",IF(L273&lt;=365,"Slow-Moving",IF(L273&lt;=730,"Excess","Obsolete"))))))</x:f>
      </x:c>
    </x:row>
    <x:row r="274">
      <x:c r="A274" s="40"/>
      <x:c r="I274" s="42"/>
      <x:c r="J274" s="42" t="str">
        <x:f>IF(OR(H274="",I274=""),"",H274*I274)</x:f>
      </x:c>
      <x:c r="K274" s="40"/>
      <x:c r="L274" t="str">
        <x:f>IF(K274="","",A274-K274)</x:f>
      </x:c>
      <x:c r="M274" t="str">
        <x:f>IF(L274="","",IF(N274="Yes","Strategic Legacy",IF(L274&lt;=90,"Active",IF(L274&lt;=180,"Monitor",IF(L274&lt;=365,"Slow-Moving",IF(L274&lt;=730,"Excess","Obsolete"))))))</x:f>
      </x:c>
    </x:row>
    <x:row r="275">
      <x:c r="A275" s="40"/>
      <x:c r="I275" s="42"/>
      <x:c r="J275" s="42" t="str">
        <x:f>IF(OR(H275="",I275=""),"",H275*I275)</x:f>
      </x:c>
      <x:c r="K275" s="40"/>
      <x:c r="L275" t="str">
        <x:f>IF(K275="","",A275-K275)</x:f>
      </x:c>
      <x:c r="M275" t="str">
        <x:f>IF(L275="","",IF(N275="Yes","Strategic Legacy",IF(L275&lt;=90,"Active",IF(L275&lt;=180,"Monitor",IF(L275&lt;=365,"Slow-Moving",IF(L275&lt;=730,"Excess","Obsolete"))))))</x:f>
      </x:c>
    </x:row>
    <x:row r="276">
      <x:c r="A276" s="40"/>
      <x:c r="I276" s="42"/>
      <x:c r="J276" s="42" t="str">
        <x:f>IF(OR(H276="",I276=""),"",H276*I276)</x:f>
      </x:c>
      <x:c r="K276" s="40"/>
      <x:c r="L276" t="str">
        <x:f>IF(K276="","",A276-K276)</x:f>
      </x:c>
      <x:c r="M276" t="str">
        <x:f>IF(L276="","",IF(N276="Yes","Strategic Legacy",IF(L276&lt;=90,"Active",IF(L276&lt;=180,"Monitor",IF(L276&lt;=365,"Slow-Moving",IF(L276&lt;=730,"Excess","Obsolete"))))))</x:f>
      </x:c>
    </x:row>
    <x:row r="277">
      <x:c r="A277" s="40"/>
      <x:c r="I277" s="42"/>
      <x:c r="J277" s="42" t="str">
        <x:f>IF(OR(H277="",I277=""),"",H277*I277)</x:f>
      </x:c>
      <x:c r="K277" s="40"/>
      <x:c r="L277" t="str">
        <x:f>IF(K277="","",A277-K277)</x:f>
      </x:c>
      <x:c r="M277" t="str">
        <x:f>IF(L277="","",IF(N277="Yes","Strategic Legacy",IF(L277&lt;=90,"Active",IF(L277&lt;=180,"Monitor",IF(L277&lt;=365,"Slow-Moving",IF(L277&lt;=730,"Excess","Obsolete"))))))</x:f>
      </x:c>
    </x:row>
    <x:row r="278">
      <x:c r="A278" s="40"/>
      <x:c r="I278" s="42"/>
      <x:c r="J278" s="42" t="str">
        <x:f>IF(OR(H278="",I278=""),"",H278*I278)</x:f>
      </x:c>
      <x:c r="K278" s="40"/>
      <x:c r="L278" t="str">
        <x:f>IF(K278="","",A278-K278)</x:f>
      </x:c>
      <x:c r="M278" t="str">
        <x:f>IF(L278="","",IF(N278="Yes","Strategic Legacy",IF(L278&lt;=90,"Active",IF(L278&lt;=180,"Monitor",IF(L278&lt;=365,"Slow-Moving",IF(L278&lt;=730,"Excess","Obsolete"))))))</x:f>
      </x:c>
    </x:row>
    <x:row r="279">
      <x:c r="A279" s="40"/>
      <x:c r="I279" s="42"/>
      <x:c r="J279" s="42" t="str">
        <x:f>IF(OR(H279="",I279=""),"",H279*I279)</x:f>
      </x:c>
      <x:c r="K279" s="40"/>
      <x:c r="L279" t="str">
        <x:f>IF(K279="","",A279-K279)</x:f>
      </x:c>
      <x:c r="M279" t="str">
        <x:f>IF(L279="","",IF(N279="Yes","Strategic Legacy",IF(L279&lt;=90,"Active",IF(L279&lt;=180,"Monitor",IF(L279&lt;=365,"Slow-Moving",IF(L279&lt;=730,"Excess","Obsolete"))))))</x:f>
      </x:c>
    </x:row>
    <x:row r="280">
      <x:c r="A280" s="40"/>
      <x:c r="I280" s="42"/>
      <x:c r="J280" s="42" t="str">
        <x:f>IF(OR(H280="",I280=""),"",H280*I280)</x:f>
      </x:c>
      <x:c r="K280" s="40"/>
      <x:c r="L280" t="str">
        <x:f>IF(K280="","",A280-K280)</x:f>
      </x:c>
      <x:c r="M280" t="str">
        <x:f>IF(L280="","",IF(N280="Yes","Strategic Legacy",IF(L280&lt;=90,"Active",IF(L280&lt;=180,"Monitor",IF(L280&lt;=365,"Slow-Moving",IF(L280&lt;=730,"Excess","Obsolete"))))))</x:f>
      </x:c>
    </x:row>
    <x:row r="281">
      <x:c r="A281" s="40"/>
      <x:c r="I281" s="42"/>
      <x:c r="J281" s="42" t="str">
        <x:f>IF(OR(H281="",I281=""),"",H281*I281)</x:f>
      </x:c>
      <x:c r="K281" s="40"/>
      <x:c r="L281" t="str">
        <x:f>IF(K281="","",A281-K281)</x:f>
      </x:c>
      <x:c r="M281" t="str">
        <x:f>IF(L281="","",IF(N281="Yes","Strategic Legacy",IF(L281&lt;=90,"Active",IF(L281&lt;=180,"Monitor",IF(L281&lt;=365,"Slow-Moving",IF(L281&lt;=730,"Excess","Obsolete"))))))</x:f>
      </x:c>
    </x:row>
    <x:row r="282">
      <x:c r="A282" s="40"/>
      <x:c r="I282" s="42"/>
      <x:c r="J282" s="42" t="str">
        <x:f>IF(OR(H282="",I282=""),"",H282*I282)</x:f>
      </x:c>
      <x:c r="K282" s="40"/>
      <x:c r="L282" t="str">
        <x:f>IF(K282="","",A282-K282)</x:f>
      </x:c>
      <x:c r="M282" t="str">
        <x:f>IF(L282="","",IF(N282="Yes","Strategic Legacy",IF(L282&lt;=90,"Active",IF(L282&lt;=180,"Monitor",IF(L282&lt;=365,"Slow-Moving",IF(L282&lt;=730,"Excess","Obsolete"))))))</x:f>
      </x:c>
    </x:row>
    <x:row r="283">
      <x:c r="A283" s="40"/>
      <x:c r="I283" s="42"/>
      <x:c r="J283" s="42" t="str">
        <x:f>IF(OR(H283="",I283=""),"",H283*I283)</x:f>
      </x:c>
      <x:c r="K283" s="40"/>
      <x:c r="L283" t="str">
        <x:f>IF(K283="","",A283-K283)</x:f>
      </x:c>
      <x:c r="M283" t="str">
        <x:f>IF(L283="","",IF(N283="Yes","Strategic Legacy",IF(L283&lt;=90,"Active",IF(L283&lt;=180,"Monitor",IF(L283&lt;=365,"Slow-Moving",IF(L283&lt;=730,"Excess","Obsolete"))))))</x:f>
      </x:c>
    </x:row>
    <x:row r="284">
      <x:c r="A284" s="40"/>
      <x:c r="I284" s="42"/>
      <x:c r="J284" s="42" t="str">
        <x:f>IF(OR(H284="",I284=""),"",H284*I284)</x:f>
      </x:c>
      <x:c r="K284" s="40"/>
      <x:c r="L284" t="str">
        <x:f>IF(K284="","",A284-K284)</x:f>
      </x:c>
      <x:c r="M284" t="str">
        <x:f>IF(L284="","",IF(N284="Yes","Strategic Legacy",IF(L284&lt;=90,"Active",IF(L284&lt;=180,"Monitor",IF(L284&lt;=365,"Slow-Moving",IF(L284&lt;=730,"Excess","Obsolete"))))))</x:f>
      </x:c>
    </x:row>
    <x:row r="285">
      <x:c r="A285" s="40"/>
      <x:c r="I285" s="42"/>
      <x:c r="J285" s="42" t="str">
        <x:f>IF(OR(H285="",I285=""),"",H285*I285)</x:f>
      </x:c>
      <x:c r="K285" s="40"/>
      <x:c r="L285" t="str">
        <x:f>IF(K285="","",A285-K285)</x:f>
      </x:c>
      <x:c r="M285" t="str">
        <x:f>IF(L285="","",IF(N285="Yes","Strategic Legacy",IF(L285&lt;=90,"Active",IF(L285&lt;=180,"Monitor",IF(L285&lt;=365,"Slow-Moving",IF(L285&lt;=730,"Excess","Obsolete"))))))</x:f>
      </x:c>
    </x:row>
    <x:row r="286">
      <x:c r="A286" s="40"/>
      <x:c r="I286" s="42"/>
      <x:c r="J286" s="42" t="str">
        <x:f>IF(OR(H286="",I286=""),"",H286*I286)</x:f>
      </x:c>
      <x:c r="K286" s="40"/>
      <x:c r="L286" t="str">
        <x:f>IF(K286="","",A286-K286)</x:f>
      </x:c>
      <x:c r="M286" t="str">
        <x:f>IF(L286="","",IF(N286="Yes","Strategic Legacy",IF(L286&lt;=90,"Active",IF(L286&lt;=180,"Monitor",IF(L286&lt;=365,"Slow-Moving",IF(L286&lt;=730,"Excess","Obsolete"))))))</x:f>
      </x:c>
    </x:row>
    <x:row r="287">
      <x:c r="A287" s="40"/>
      <x:c r="I287" s="42"/>
      <x:c r="J287" s="42" t="str">
        <x:f>IF(OR(H287="",I287=""),"",H287*I287)</x:f>
      </x:c>
      <x:c r="K287" s="40"/>
      <x:c r="L287" t="str">
        <x:f>IF(K287="","",A287-K287)</x:f>
      </x:c>
      <x:c r="M287" t="str">
        <x:f>IF(L287="","",IF(N287="Yes","Strategic Legacy",IF(L287&lt;=90,"Active",IF(L287&lt;=180,"Monitor",IF(L287&lt;=365,"Slow-Moving",IF(L287&lt;=730,"Excess","Obsolete"))))))</x:f>
      </x:c>
    </x:row>
    <x:row r="288">
      <x:c r="A288" s="40"/>
      <x:c r="I288" s="42"/>
      <x:c r="J288" s="42" t="str">
        <x:f>IF(OR(H288="",I288=""),"",H288*I288)</x:f>
      </x:c>
      <x:c r="K288" s="40"/>
      <x:c r="L288" t="str">
        <x:f>IF(K288="","",A288-K288)</x:f>
      </x:c>
      <x:c r="M288" t="str">
        <x:f>IF(L288="","",IF(N288="Yes","Strategic Legacy",IF(L288&lt;=90,"Active",IF(L288&lt;=180,"Monitor",IF(L288&lt;=365,"Slow-Moving",IF(L288&lt;=730,"Excess","Obsolete"))))))</x:f>
      </x:c>
    </x:row>
    <x:row r="289">
      <x:c r="A289" s="40"/>
      <x:c r="I289" s="42"/>
      <x:c r="J289" s="42" t="str">
        <x:f>IF(OR(H289="",I289=""),"",H289*I289)</x:f>
      </x:c>
      <x:c r="K289" s="40"/>
      <x:c r="L289" t="str">
        <x:f>IF(K289="","",A289-K289)</x:f>
      </x:c>
      <x:c r="M289" t="str">
        <x:f>IF(L289="","",IF(N289="Yes","Strategic Legacy",IF(L289&lt;=90,"Active",IF(L289&lt;=180,"Monitor",IF(L289&lt;=365,"Slow-Moving",IF(L289&lt;=730,"Excess","Obsolete"))))))</x:f>
      </x:c>
    </x:row>
    <x:row r="290">
      <x:c r="A290" s="40"/>
      <x:c r="I290" s="42"/>
      <x:c r="J290" s="42" t="str">
        <x:f>IF(OR(H290="",I290=""),"",H290*I290)</x:f>
      </x:c>
      <x:c r="K290" s="40"/>
      <x:c r="L290" t="str">
        <x:f>IF(K290="","",A290-K290)</x:f>
      </x:c>
      <x:c r="M290" t="str">
        <x:f>IF(L290="","",IF(N290="Yes","Strategic Legacy",IF(L290&lt;=90,"Active",IF(L290&lt;=180,"Monitor",IF(L290&lt;=365,"Slow-Moving",IF(L290&lt;=730,"Excess","Obsolete"))))))</x:f>
      </x:c>
    </x:row>
    <x:row r="291">
      <x:c r="A291" s="40"/>
      <x:c r="I291" s="42"/>
      <x:c r="J291" s="42" t="str">
        <x:f>IF(OR(H291="",I291=""),"",H291*I291)</x:f>
      </x:c>
      <x:c r="K291" s="40"/>
      <x:c r="L291" t="str">
        <x:f>IF(K291="","",A291-K291)</x:f>
      </x:c>
      <x:c r="M291" t="str">
        <x:f>IF(L291="","",IF(N291="Yes","Strategic Legacy",IF(L291&lt;=90,"Active",IF(L291&lt;=180,"Monitor",IF(L291&lt;=365,"Slow-Moving",IF(L291&lt;=730,"Excess","Obsolete"))))))</x:f>
      </x:c>
    </x:row>
    <x:row r="292">
      <x:c r="A292" s="40"/>
      <x:c r="I292" s="42"/>
      <x:c r="J292" s="42" t="str">
        <x:f>IF(OR(H292="",I292=""),"",H292*I292)</x:f>
      </x:c>
      <x:c r="K292" s="40"/>
      <x:c r="L292" t="str">
        <x:f>IF(K292="","",A292-K292)</x:f>
      </x:c>
      <x:c r="M292" t="str">
        <x:f>IF(L292="","",IF(N292="Yes","Strategic Legacy",IF(L292&lt;=90,"Active",IF(L292&lt;=180,"Monitor",IF(L292&lt;=365,"Slow-Moving",IF(L292&lt;=730,"Excess","Obsolete"))))))</x:f>
      </x:c>
    </x:row>
    <x:row r="293">
      <x:c r="A293" s="40"/>
      <x:c r="I293" s="42"/>
      <x:c r="J293" s="42" t="str">
        <x:f>IF(OR(H293="",I293=""),"",H293*I293)</x:f>
      </x:c>
      <x:c r="K293" s="40"/>
      <x:c r="L293" t="str">
        <x:f>IF(K293="","",A293-K293)</x:f>
      </x:c>
      <x:c r="M293" t="str">
        <x:f>IF(L293="","",IF(N293="Yes","Strategic Legacy",IF(L293&lt;=90,"Active",IF(L293&lt;=180,"Monitor",IF(L293&lt;=365,"Slow-Moving",IF(L293&lt;=730,"Excess","Obsolete"))))))</x:f>
      </x:c>
    </x:row>
    <x:row r="294">
      <x:c r="A294" s="40"/>
      <x:c r="I294" s="42"/>
      <x:c r="J294" s="42" t="str">
        <x:f>IF(OR(H294="",I294=""),"",H294*I294)</x:f>
      </x:c>
      <x:c r="K294" s="40"/>
      <x:c r="L294" t="str">
        <x:f>IF(K294="","",A294-K294)</x:f>
      </x:c>
      <x:c r="M294" t="str">
        <x:f>IF(L294="","",IF(N294="Yes","Strategic Legacy",IF(L294&lt;=90,"Active",IF(L294&lt;=180,"Monitor",IF(L294&lt;=365,"Slow-Moving",IF(L294&lt;=730,"Excess","Obsolete"))))))</x:f>
      </x:c>
    </x:row>
    <x:row r="295">
      <x:c r="A295" s="40"/>
      <x:c r="I295" s="42"/>
      <x:c r="J295" s="42" t="str">
        <x:f>IF(OR(H295="",I295=""),"",H295*I295)</x:f>
      </x:c>
      <x:c r="K295" s="40"/>
      <x:c r="L295" t="str">
        <x:f>IF(K295="","",A295-K295)</x:f>
      </x:c>
      <x:c r="M295" t="str">
        <x:f>IF(L295="","",IF(N295="Yes","Strategic Legacy",IF(L295&lt;=90,"Active",IF(L295&lt;=180,"Monitor",IF(L295&lt;=365,"Slow-Moving",IF(L295&lt;=730,"Excess","Obsolete"))))))</x:f>
      </x:c>
    </x:row>
    <x:row r="296">
      <x:c r="A296" s="40"/>
      <x:c r="I296" s="42"/>
      <x:c r="J296" s="42" t="str">
        <x:f>IF(OR(H296="",I296=""),"",H296*I296)</x:f>
      </x:c>
      <x:c r="K296" s="40"/>
      <x:c r="L296" t="str">
        <x:f>IF(K296="","",A296-K296)</x:f>
      </x:c>
      <x:c r="M296" t="str">
        <x:f>IF(L296="","",IF(N296="Yes","Strategic Legacy",IF(L296&lt;=90,"Active",IF(L296&lt;=180,"Monitor",IF(L296&lt;=365,"Slow-Moving",IF(L296&lt;=730,"Excess","Obsolete"))))))</x:f>
      </x:c>
    </x:row>
    <x:row r="297">
      <x:c r="A297" s="40"/>
      <x:c r="I297" s="42"/>
      <x:c r="J297" s="42" t="str">
        <x:f>IF(OR(H297="",I297=""),"",H297*I297)</x:f>
      </x:c>
      <x:c r="K297" s="40"/>
      <x:c r="L297" t="str">
        <x:f>IF(K297="","",A297-K297)</x:f>
      </x:c>
      <x:c r="M297" t="str">
        <x:f>IF(L297="","",IF(N297="Yes","Strategic Legacy",IF(L297&lt;=90,"Active",IF(L297&lt;=180,"Monitor",IF(L297&lt;=365,"Slow-Moving",IF(L297&lt;=730,"Excess","Obsolete"))))))</x:f>
      </x:c>
    </x:row>
    <x:row r="298">
      <x:c r="A298" s="40"/>
      <x:c r="I298" s="42"/>
      <x:c r="J298" s="42" t="str">
        <x:f>IF(OR(H298="",I298=""),"",H298*I298)</x:f>
      </x:c>
      <x:c r="K298" s="40"/>
      <x:c r="L298" t="str">
        <x:f>IF(K298="","",A298-K298)</x:f>
      </x:c>
      <x:c r="M298" t="str">
        <x:f>IF(L298="","",IF(N298="Yes","Strategic Legacy",IF(L298&lt;=90,"Active",IF(L298&lt;=180,"Monitor",IF(L298&lt;=365,"Slow-Moving",IF(L298&lt;=730,"Excess","Obsolete"))))))</x:f>
      </x:c>
    </x:row>
    <x:row r="299">
      <x:c r="A299" s="40"/>
      <x:c r="I299" s="42"/>
      <x:c r="J299" s="42" t="str">
        <x:f>IF(OR(H299="",I299=""),"",H299*I299)</x:f>
      </x:c>
      <x:c r="K299" s="40"/>
      <x:c r="L299" t="str">
        <x:f>IF(K299="","",A299-K299)</x:f>
      </x:c>
      <x:c r="M299" t="str">
        <x:f>IF(L299="","",IF(N299="Yes","Strategic Legacy",IF(L299&lt;=90,"Active",IF(L299&lt;=180,"Monitor",IF(L299&lt;=365,"Slow-Moving",IF(L299&lt;=730,"Excess","Obsolete"))))))</x:f>
      </x:c>
    </x:row>
    <x:row r="300">
      <x:c r="A300" s="40"/>
      <x:c r="I300" s="42"/>
      <x:c r="J300" s="42" t="str">
        <x:f>IF(OR(H300="",I300=""),"",H300*I300)</x:f>
      </x:c>
      <x:c r="K300" s="40"/>
      <x:c r="L300" t="str">
        <x:f>IF(K300="","",A300-K300)</x:f>
      </x:c>
      <x:c r="M300" t="str">
        <x:f>IF(L300="","",IF(N300="Yes","Strategic Legacy",IF(L300&lt;=90,"Active",IF(L300&lt;=180,"Monitor",IF(L300&lt;=365,"Slow-Moving",IF(L300&lt;=730,"Excess","Obsolete"))))))</x:f>
      </x:c>
    </x:row>
    <x:row r="301">
      <x:c r="A301" s="40"/>
      <x:c r="I301" s="42"/>
      <x:c r="J301" s="42" t="str">
        <x:f>IF(OR(H301="",I301=""),"",H301*I301)</x:f>
      </x:c>
      <x:c r="K301" s="40"/>
      <x:c r="L301" t="str">
        <x:f>IF(K301="","",A301-K301)</x:f>
      </x:c>
      <x:c r="M301" t="str">
        <x:f>IF(L301="","",IF(N301="Yes","Strategic Legacy",IF(L301&lt;=90,"Active",IF(L301&lt;=180,"Monitor",IF(L301&lt;=365,"Slow-Moving",IF(L301&lt;=730,"Excess","Obsolete"))))))</x:f>
      </x:c>
    </x:row>
    <x:row r="302">
      <x:c r="A302" s="40"/>
      <x:c r="I302" s="42"/>
      <x:c r="J302" s="42" t="str">
        <x:f>IF(OR(H302="",I302=""),"",H302*I302)</x:f>
      </x:c>
      <x:c r="K302" s="40"/>
      <x:c r="L302" t="str">
        <x:f>IF(K302="","",A302-K302)</x:f>
      </x:c>
      <x:c r="M302" t="str">
        <x:f>IF(L302="","",IF(N302="Yes","Strategic Legacy",IF(L302&lt;=90,"Active",IF(L302&lt;=180,"Monitor",IF(L302&lt;=365,"Slow-Moving",IF(L302&lt;=730,"Excess","Obsolete"))))))</x:f>
      </x:c>
    </x:row>
    <x:row r="303">
      <x:c r="A303" s="40"/>
      <x:c r="I303" s="42"/>
      <x:c r="J303" s="42" t="str">
        <x:f>IF(OR(H303="",I303=""),"",H303*I303)</x:f>
      </x:c>
      <x:c r="K303" s="40"/>
      <x:c r="L303" t="str">
        <x:f>IF(K303="","",A303-K303)</x:f>
      </x:c>
      <x:c r="M303" t="str">
        <x:f>IF(L303="","",IF(N303="Yes","Strategic Legacy",IF(L303&lt;=90,"Active",IF(L303&lt;=180,"Monitor",IF(L303&lt;=365,"Slow-Moving",IF(L303&lt;=730,"Excess","Obsolete"))))))</x:f>
      </x:c>
    </x:row>
    <x:row r="304">
      <x:c r="A304" s="40"/>
      <x:c r="I304" s="42"/>
      <x:c r="J304" s="42" t="str">
        <x:f>IF(OR(H304="",I304=""),"",H304*I304)</x:f>
      </x:c>
      <x:c r="K304" s="40"/>
      <x:c r="L304" t="str">
        <x:f>IF(K304="","",A304-K304)</x:f>
      </x:c>
      <x:c r="M304" t="str">
        <x:f>IF(L304="","",IF(N304="Yes","Strategic Legacy",IF(L304&lt;=90,"Active",IF(L304&lt;=180,"Monitor",IF(L304&lt;=365,"Slow-Moving",IF(L304&lt;=730,"Excess","Obsolete"))))))</x:f>
      </x:c>
    </x:row>
    <x:row r="305">
      <x:c r="A305" s="40"/>
      <x:c r="I305" s="42"/>
      <x:c r="J305" s="42" t="str">
        <x:f>IF(OR(H305="",I305=""),"",H305*I305)</x:f>
      </x:c>
      <x:c r="K305" s="40"/>
      <x:c r="L305" t="str">
        <x:f>IF(K305="","",A305-K305)</x:f>
      </x:c>
      <x:c r="M305" t="str">
        <x:f>IF(L305="","",IF(N305="Yes","Strategic Legacy",IF(L305&lt;=90,"Active",IF(L305&lt;=180,"Monitor",IF(L305&lt;=365,"Slow-Moving",IF(L305&lt;=730,"Excess","Obsolete"))))))</x:f>
      </x:c>
    </x:row>
    <x:row r="306">
      <x:c r="A306" s="40"/>
      <x:c r="I306" s="42"/>
      <x:c r="J306" s="42" t="str">
        <x:f>IF(OR(H306="",I306=""),"",H306*I306)</x:f>
      </x:c>
      <x:c r="K306" s="40"/>
      <x:c r="L306" t="str">
        <x:f>IF(K306="","",A306-K306)</x:f>
      </x:c>
      <x:c r="M306" t="str">
        <x:f>IF(L306="","",IF(N306="Yes","Strategic Legacy",IF(L306&lt;=90,"Active",IF(L306&lt;=180,"Monitor",IF(L306&lt;=365,"Slow-Moving",IF(L306&lt;=730,"Excess","Obsolete"))))))</x:f>
      </x:c>
    </x:row>
    <x:row r="307">
      <x:c r="A307" s="40"/>
      <x:c r="I307" s="42"/>
      <x:c r="J307" s="42" t="str">
        <x:f>IF(OR(H307="",I307=""),"",H307*I307)</x:f>
      </x:c>
      <x:c r="K307" s="40"/>
      <x:c r="L307" t="str">
        <x:f>IF(K307="","",A307-K307)</x:f>
      </x:c>
      <x:c r="M307" t="str">
        <x:f>IF(L307="","",IF(N307="Yes","Strategic Legacy",IF(L307&lt;=90,"Active",IF(L307&lt;=180,"Monitor",IF(L307&lt;=365,"Slow-Moving",IF(L307&lt;=730,"Excess","Obsolete"))))))</x:f>
      </x:c>
    </x:row>
    <x:row r="308">
      <x:c r="A308" s="40"/>
      <x:c r="I308" s="42"/>
      <x:c r="J308" s="42" t="str">
        <x:f>IF(OR(H308="",I308=""),"",H308*I308)</x:f>
      </x:c>
      <x:c r="K308" s="40"/>
      <x:c r="L308" t="str">
        <x:f>IF(K308="","",A308-K308)</x:f>
      </x:c>
      <x:c r="M308" t="str">
        <x:f>IF(L308="","",IF(N308="Yes","Strategic Legacy",IF(L308&lt;=90,"Active",IF(L308&lt;=180,"Monitor",IF(L308&lt;=365,"Slow-Moving",IF(L308&lt;=730,"Excess","Obsolete"))))))</x:f>
      </x:c>
    </x:row>
    <x:row r="309">
      <x:c r="A309" s="40"/>
      <x:c r="I309" s="42"/>
      <x:c r="J309" s="42" t="str">
        <x:f>IF(OR(H309="",I309=""),"",H309*I309)</x:f>
      </x:c>
      <x:c r="K309" s="40"/>
      <x:c r="L309" t="str">
        <x:f>IF(K309="","",A309-K309)</x:f>
      </x:c>
      <x:c r="M309" t="str">
        <x:f>IF(L309="","",IF(N309="Yes","Strategic Legacy",IF(L309&lt;=90,"Active",IF(L309&lt;=180,"Monitor",IF(L309&lt;=365,"Slow-Moving",IF(L309&lt;=730,"Excess","Obsolete"))))))</x:f>
      </x:c>
    </x:row>
    <x:row r="310">
      <x:c r="A310" s="40"/>
      <x:c r="I310" s="42"/>
      <x:c r="J310" s="42" t="str">
        <x:f>IF(OR(H310="",I310=""),"",H310*I310)</x:f>
      </x:c>
      <x:c r="K310" s="40"/>
      <x:c r="L310" t="str">
        <x:f>IF(K310="","",A310-K310)</x:f>
      </x:c>
      <x:c r="M310" t="str">
        <x:f>IF(L310="","",IF(N310="Yes","Strategic Legacy",IF(L310&lt;=90,"Active",IF(L310&lt;=180,"Monitor",IF(L310&lt;=365,"Slow-Moving",IF(L310&lt;=730,"Excess","Obsolete"))))))</x:f>
      </x:c>
    </x:row>
    <x:row r="311">
      <x:c r="A311" s="40"/>
      <x:c r="I311" s="42"/>
      <x:c r="J311" s="42" t="str">
        <x:f>IF(OR(H311="",I311=""),"",H311*I311)</x:f>
      </x:c>
      <x:c r="K311" s="40"/>
      <x:c r="L311" t="str">
        <x:f>IF(K311="","",A311-K311)</x:f>
      </x:c>
      <x:c r="M311" t="str">
        <x:f>IF(L311="","",IF(N311="Yes","Strategic Legacy",IF(L311&lt;=90,"Active",IF(L311&lt;=180,"Monitor",IF(L311&lt;=365,"Slow-Moving",IF(L311&lt;=730,"Excess","Obsolete"))))))</x:f>
      </x:c>
    </x:row>
    <x:row r="312">
      <x:c r="A312" s="40"/>
      <x:c r="I312" s="42"/>
      <x:c r="J312" s="42" t="str">
        <x:f>IF(OR(H312="",I312=""),"",H312*I312)</x:f>
      </x:c>
      <x:c r="K312" s="40"/>
      <x:c r="L312" t="str">
        <x:f>IF(K312="","",A312-K312)</x:f>
      </x:c>
      <x:c r="M312" t="str">
        <x:f>IF(L312="","",IF(N312="Yes","Strategic Legacy",IF(L312&lt;=90,"Active",IF(L312&lt;=180,"Monitor",IF(L312&lt;=365,"Slow-Moving",IF(L312&lt;=730,"Excess","Obsolete"))))))</x:f>
      </x:c>
    </x:row>
    <x:row r="313">
      <x:c r="A313" s="40"/>
      <x:c r="I313" s="42"/>
      <x:c r="J313" s="42" t="str">
        <x:f>IF(OR(H313="",I313=""),"",H313*I313)</x:f>
      </x:c>
      <x:c r="K313" s="40"/>
      <x:c r="L313" t="str">
        <x:f>IF(K313="","",A313-K313)</x:f>
      </x:c>
      <x:c r="M313" t="str">
        <x:f>IF(L313="","",IF(N313="Yes","Strategic Legacy",IF(L313&lt;=90,"Active",IF(L313&lt;=180,"Monitor",IF(L313&lt;=365,"Slow-Moving",IF(L313&lt;=730,"Excess","Obsolete"))))))</x:f>
      </x:c>
    </x:row>
    <x:row r="314">
      <x:c r="A314" s="40"/>
      <x:c r="I314" s="42"/>
      <x:c r="J314" s="42" t="str">
        <x:f>IF(OR(H314="",I314=""),"",H314*I314)</x:f>
      </x:c>
      <x:c r="K314" s="40"/>
      <x:c r="L314" t="str">
        <x:f>IF(K314="","",A314-K314)</x:f>
      </x:c>
      <x:c r="M314" t="str">
        <x:f>IF(L314="","",IF(N314="Yes","Strategic Legacy",IF(L314&lt;=90,"Active",IF(L314&lt;=180,"Monitor",IF(L314&lt;=365,"Slow-Moving",IF(L314&lt;=730,"Excess","Obsolete"))))))</x:f>
      </x:c>
    </x:row>
    <x:row r="315">
      <x:c r="A315" s="40"/>
      <x:c r="I315" s="42"/>
      <x:c r="J315" s="42" t="str">
        <x:f>IF(OR(H315="",I315=""),"",H315*I315)</x:f>
      </x:c>
      <x:c r="K315" s="40"/>
      <x:c r="L315" t="str">
        <x:f>IF(K315="","",A315-K315)</x:f>
      </x:c>
      <x:c r="M315" t="str">
        <x:f>IF(L315="","",IF(N315="Yes","Strategic Legacy",IF(L315&lt;=90,"Active",IF(L315&lt;=180,"Monitor",IF(L315&lt;=365,"Slow-Moving",IF(L315&lt;=730,"Excess","Obsolete"))))))</x:f>
      </x:c>
    </x:row>
    <x:row r="316">
      <x:c r="A316" s="40"/>
      <x:c r="I316" s="42"/>
      <x:c r="J316" s="42" t="str">
        <x:f>IF(OR(H316="",I316=""),"",H316*I316)</x:f>
      </x:c>
      <x:c r="K316" s="40"/>
      <x:c r="L316" t="str">
        <x:f>IF(K316="","",A316-K316)</x:f>
      </x:c>
      <x:c r="M316" t="str">
        <x:f>IF(L316="","",IF(N316="Yes","Strategic Legacy",IF(L316&lt;=90,"Active",IF(L316&lt;=180,"Monitor",IF(L316&lt;=365,"Slow-Moving",IF(L316&lt;=730,"Excess","Obsolete"))))))</x:f>
      </x:c>
    </x:row>
    <x:row r="317">
      <x:c r="A317" s="40"/>
      <x:c r="I317" s="42"/>
      <x:c r="J317" s="42" t="str">
        <x:f>IF(OR(H317="",I317=""),"",H317*I317)</x:f>
      </x:c>
      <x:c r="K317" s="40"/>
      <x:c r="L317" t="str">
        <x:f>IF(K317="","",A317-K317)</x:f>
      </x:c>
      <x:c r="M317" t="str">
        <x:f>IF(L317="","",IF(N317="Yes","Strategic Legacy",IF(L317&lt;=90,"Active",IF(L317&lt;=180,"Monitor",IF(L317&lt;=365,"Slow-Moving",IF(L317&lt;=730,"Excess","Obsolete"))))))</x:f>
      </x:c>
    </x:row>
    <x:row r="318">
      <x:c r="A318" s="40"/>
      <x:c r="I318" s="42"/>
      <x:c r="J318" s="42" t="str">
        <x:f>IF(OR(H318="",I318=""),"",H318*I318)</x:f>
      </x:c>
      <x:c r="K318" s="40"/>
      <x:c r="L318" t="str">
        <x:f>IF(K318="","",A318-K318)</x:f>
      </x:c>
      <x:c r="M318" t="str">
        <x:f>IF(L318="","",IF(N318="Yes","Strategic Legacy",IF(L318&lt;=90,"Active",IF(L318&lt;=180,"Monitor",IF(L318&lt;=365,"Slow-Moving",IF(L318&lt;=730,"Excess","Obsolete"))))))</x:f>
      </x:c>
    </x:row>
    <x:row r="319">
      <x:c r="A319" s="40"/>
      <x:c r="I319" s="42"/>
      <x:c r="J319" s="42" t="str">
        <x:f>IF(OR(H319="",I319=""),"",H319*I319)</x:f>
      </x:c>
      <x:c r="K319" s="40"/>
      <x:c r="L319" t="str">
        <x:f>IF(K319="","",A319-K319)</x:f>
      </x:c>
      <x:c r="M319" t="str">
        <x:f>IF(L319="","",IF(N319="Yes","Strategic Legacy",IF(L319&lt;=90,"Active",IF(L319&lt;=180,"Monitor",IF(L319&lt;=365,"Slow-Moving",IF(L319&lt;=730,"Excess","Obsolete"))))))</x:f>
      </x:c>
    </x:row>
    <x:row r="320">
      <x:c r="A320" s="40"/>
      <x:c r="I320" s="42"/>
      <x:c r="J320" s="42" t="str">
        <x:f>IF(OR(H320="",I320=""),"",H320*I320)</x:f>
      </x:c>
      <x:c r="K320" s="40"/>
      <x:c r="L320" t="str">
        <x:f>IF(K320="","",A320-K320)</x:f>
      </x:c>
      <x:c r="M320" t="str">
        <x:f>IF(L320="","",IF(N320="Yes","Strategic Legacy",IF(L320&lt;=90,"Active",IF(L320&lt;=180,"Monitor",IF(L320&lt;=365,"Slow-Moving",IF(L320&lt;=730,"Excess","Obsolete"))))))</x:f>
      </x:c>
    </x:row>
    <x:row r="321">
      <x:c r="A321" s="40"/>
      <x:c r="I321" s="42"/>
      <x:c r="J321" s="42" t="str">
        <x:f>IF(OR(H321="",I321=""),"",H321*I321)</x:f>
      </x:c>
      <x:c r="K321" s="40"/>
      <x:c r="L321" t="str">
        <x:f>IF(K321="","",A321-K321)</x:f>
      </x:c>
      <x:c r="M321" t="str">
        <x:f>IF(L321="","",IF(N321="Yes","Strategic Legacy",IF(L321&lt;=90,"Active",IF(L321&lt;=180,"Monitor",IF(L321&lt;=365,"Slow-Moving",IF(L321&lt;=730,"Excess","Obsolete"))))))</x:f>
      </x:c>
    </x:row>
    <x:row r="322">
      <x:c r="A322" s="40"/>
      <x:c r="I322" s="42"/>
      <x:c r="J322" s="42" t="str">
        <x:f>IF(OR(H322="",I322=""),"",H322*I322)</x:f>
      </x:c>
      <x:c r="K322" s="40"/>
      <x:c r="L322" t="str">
        <x:f>IF(K322="","",A322-K322)</x:f>
      </x:c>
      <x:c r="M322" t="str">
        <x:f>IF(L322="","",IF(N322="Yes","Strategic Legacy",IF(L322&lt;=90,"Active",IF(L322&lt;=180,"Monitor",IF(L322&lt;=365,"Slow-Moving",IF(L322&lt;=730,"Excess","Obsolete"))))))</x:f>
      </x:c>
    </x:row>
    <x:row r="323">
      <x:c r="A323" s="40"/>
      <x:c r="I323" s="42"/>
      <x:c r="J323" s="42" t="str">
        <x:f>IF(OR(H323="",I323=""),"",H323*I323)</x:f>
      </x:c>
      <x:c r="K323" s="40"/>
      <x:c r="L323" t="str">
        <x:f>IF(K323="","",A323-K323)</x:f>
      </x:c>
      <x:c r="M323" t="str">
        <x:f>IF(L323="","",IF(N323="Yes","Strategic Legacy",IF(L323&lt;=90,"Active",IF(L323&lt;=180,"Monitor",IF(L323&lt;=365,"Slow-Moving",IF(L323&lt;=730,"Excess","Obsolete"))))))</x:f>
      </x:c>
    </x:row>
    <x:row r="324">
      <x:c r="A324" s="40"/>
      <x:c r="I324" s="42"/>
      <x:c r="J324" s="42" t="str">
        <x:f>IF(OR(H324="",I324=""),"",H324*I324)</x:f>
      </x:c>
      <x:c r="K324" s="40"/>
      <x:c r="L324" t="str">
        <x:f>IF(K324="","",A324-K324)</x:f>
      </x:c>
      <x:c r="M324" t="str">
        <x:f>IF(L324="","",IF(N324="Yes","Strategic Legacy",IF(L324&lt;=90,"Active",IF(L324&lt;=180,"Monitor",IF(L324&lt;=365,"Slow-Moving",IF(L324&lt;=730,"Excess","Obsolete"))))))</x:f>
      </x:c>
    </x:row>
    <x:row r="325">
      <x:c r="A325" s="40"/>
      <x:c r="I325" s="42"/>
      <x:c r="J325" s="42" t="str">
        <x:f>IF(OR(H325="",I325=""),"",H325*I325)</x:f>
      </x:c>
      <x:c r="K325" s="40"/>
      <x:c r="L325" t="str">
        <x:f>IF(K325="","",A325-K325)</x:f>
      </x:c>
      <x:c r="M325" t="str">
        <x:f>IF(L325="","",IF(N325="Yes","Strategic Legacy",IF(L325&lt;=90,"Active",IF(L325&lt;=180,"Monitor",IF(L325&lt;=365,"Slow-Moving",IF(L325&lt;=730,"Excess","Obsolete"))))))</x:f>
      </x:c>
    </x:row>
    <x:row r="326">
      <x:c r="A326" s="40"/>
      <x:c r="I326" s="42"/>
      <x:c r="J326" s="42" t="str">
        <x:f>IF(OR(H326="",I326=""),"",H326*I326)</x:f>
      </x:c>
      <x:c r="K326" s="40"/>
      <x:c r="L326" t="str">
        <x:f>IF(K326="","",A326-K326)</x:f>
      </x:c>
      <x:c r="M326" t="str">
        <x:f>IF(L326="","",IF(N326="Yes","Strategic Legacy",IF(L326&lt;=90,"Active",IF(L326&lt;=180,"Monitor",IF(L326&lt;=365,"Slow-Moving",IF(L326&lt;=730,"Excess","Obsolete"))))))</x:f>
      </x:c>
    </x:row>
    <x:row r="327">
      <x:c r="A327" s="40"/>
      <x:c r="I327" s="42"/>
      <x:c r="J327" s="42" t="str">
        <x:f>IF(OR(H327="",I327=""),"",H327*I327)</x:f>
      </x:c>
      <x:c r="K327" s="40"/>
      <x:c r="L327" t="str">
        <x:f>IF(K327="","",A327-K327)</x:f>
      </x:c>
      <x:c r="M327" t="str">
        <x:f>IF(L327="","",IF(N327="Yes","Strategic Legacy",IF(L327&lt;=90,"Active",IF(L327&lt;=180,"Monitor",IF(L327&lt;=365,"Slow-Moving",IF(L327&lt;=730,"Excess","Obsolete"))))))</x:f>
      </x:c>
    </x:row>
    <x:row r="328">
      <x:c r="A328" s="40"/>
      <x:c r="I328" s="42"/>
      <x:c r="J328" s="42" t="str">
        <x:f>IF(OR(H328="",I328=""),"",H328*I328)</x:f>
      </x:c>
      <x:c r="K328" s="40"/>
      <x:c r="L328" t="str">
        <x:f>IF(K328="","",A328-K328)</x:f>
      </x:c>
      <x:c r="M328" t="str">
        <x:f>IF(L328="","",IF(N328="Yes","Strategic Legacy",IF(L328&lt;=90,"Active",IF(L328&lt;=180,"Monitor",IF(L328&lt;=365,"Slow-Moving",IF(L328&lt;=730,"Excess","Obsolete"))))))</x:f>
      </x:c>
    </x:row>
    <x:row r="329">
      <x:c r="A329" s="40"/>
      <x:c r="I329" s="42"/>
      <x:c r="J329" s="42" t="str">
        <x:f>IF(OR(H329="",I329=""),"",H329*I329)</x:f>
      </x:c>
      <x:c r="K329" s="40"/>
      <x:c r="L329" t="str">
        <x:f>IF(K329="","",A329-K329)</x:f>
      </x:c>
      <x:c r="M329" t="str">
        <x:f>IF(L329="","",IF(N329="Yes","Strategic Legacy",IF(L329&lt;=90,"Active",IF(L329&lt;=180,"Monitor",IF(L329&lt;=365,"Slow-Moving",IF(L329&lt;=730,"Excess","Obsolete"))))))</x:f>
      </x:c>
    </x:row>
    <x:row r="330">
      <x:c r="A330" s="40"/>
      <x:c r="I330" s="42"/>
      <x:c r="J330" s="42" t="str">
        <x:f>IF(OR(H330="",I330=""),"",H330*I330)</x:f>
      </x:c>
      <x:c r="K330" s="40"/>
      <x:c r="L330" t="str">
        <x:f>IF(K330="","",A330-K330)</x:f>
      </x:c>
      <x:c r="M330" t="str">
        <x:f>IF(L330="","",IF(N330="Yes","Strategic Legacy",IF(L330&lt;=90,"Active",IF(L330&lt;=180,"Monitor",IF(L330&lt;=365,"Slow-Moving",IF(L330&lt;=730,"Excess","Obsolete"))))))</x:f>
      </x:c>
    </x:row>
    <x:row r="331">
      <x:c r="A331" s="40"/>
      <x:c r="I331" s="42"/>
      <x:c r="J331" s="42" t="str">
        <x:f>IF(OR(H331="",I331=""),"",H331*I331)</x:f>
      </x:c>
      <x:c r="K331" s="40"/>
      <x:c r="L331" t="str">
        <x:f>IF(K331="","",A331-K331)</x:f>
      </x:c>
      <x:c r="M331" t="str">
        <x:f>IF(L331="","",IF(N331="Yes","Strategic Legacy",IF(L331&lt;=90,"Active",IF(L331&lt;=180,"Monitor",IF(L331&lt;=365,"Slow-Moving",IF(L331&lt;=730,"Excess","Obsolete"))))))</x:f>
      </x:c>
    </x:row>
    <x:row r="332">
      <x:c r="A332" s="40"/>
      <x:c r="I332" s="42"/>
      <x:c r="J332" s="42" t="str">
        <x:f>IF(OR(H332="",I332=""),"",H332*I332)</x:f>
      </x:c>
      <x:c r="K332" s="40"/>
      <x:c r="L332" t="str">
        <x:f>IF(K332="","",A332-K332)</x:f>
      </x:c>
      <x:c r="M332" t="str">
        <x:f>IF(L332="","",IF(N332="Yes","Strategic Legacy",IF(L332&lt;=90,"Active",IF(L332&lt;=180,"Monitor",IF(L332&lt;=365,"Slow-Moving",IF(L332&lt;=730,"Excess","Obsolete"))))))</x:f>
      </x:c>
    </x:row>
    <x:row r="333">
      <x:c r="A333" s="40"/>
      <x:c r="I333" s="42"/>
      <x:c r="J333" s="42" t="str">
        <x:f>IF(OR(H333="",I333=""),"",H333*I333)</x:f>
      </x:c>
      <x:c r="K333" s="40"/>
      <x:c r="L333" t="str">
        <x:f>IF(K333="","",A333-K333)</x:f>
      </x:c>
      <x:c r="M333" t="str">
        <x:f>IF(L333="","",IF(N333="Yes","Strategic Legacy",IF(L333&lt;=90,"Active",IF(L333&lt;=180,"Monitor",IF(L333&lt;=365,"Slow-Moving",IF(L333&lt;=730,"Excess","Obsolete"))))))</x:f>
      </x:c>
    </x:row>
    <x:row r="334">
      <x:c r="A334" s="40"/>
      <x:c r="I334" s="42"/>
      <x:c r="J334" s="42" t="str">
        <x:f>IF(OR(H334="",I334=""),"",H334*I334)</x:f>
      </x:c>
      <x:c r="K334" s="40"/>
      <x:c r="L334" t="str">
        <x:f>IF(K334="","",A334-K334)</x:f>
      </x:c>
      <x:c r="M334" t="str">
        <x:f>IF(L334="","",IF(N334="Yes","Strategic Legacy",IF(L334&lt;=90,"Active",IF(L334&lt;=180,"Monitor",IF(L334&lt;=365,"Slow-Moving",IF(L334&lt;=730,"Excess","Obsolete"))))))</x:f>
      </x:c>
    </x:row>
    <x:row r="335">
      <x:c r="A335" s="40"/>
      <x:c r="I335" s="42"/>
      <x:c r="J335" s="42" t="str">
        <x:f>IF(OR(H335="",I335=""),"",H335*I335)</x:f>
      </x:c>
      <x:c r="K335" s="40"/>
      <x:c r="L335" t="str">
        <x:f>IF(K335="","",A335-K335)</x:f>
      </x:c>
      <x:c r="M335" t="str">
        <x:f>IF(L335="","",IF(N335="Yes","Strategic Legacy",IF(L335&lt;=90,"Active",IF(L335&lt;=180,"Monitor",IF(L335&lt;=365,"Slow-Moving",IF(L335&lt;=730,"Excess","Obsolete"))))))</x:f>
      </x:c>
    </x:row>
    <x:row r="336">
      <x:c r="A336" s="40"/>
      <x:c r="I336" s="42"/>
      <x:c r="J336" s="42" t="str">
        <x:f>IF(OR(H336="",I336=""),"",H336*I336)</x:f>
      </x:c>
      <x:c r="K336" s="40"/>
      <x:c r="L336" t="str">
        <x:f>IF(K336="","",A336-K336)</x:f>
      </x:c>
      <x:c r="M336" t="str">
        <x:f>IF(L336="","",IF(N336="Yes","Strategic Legacy",IF(L336&lt;=90,"Active",IF(L336&lt;=180,"Monitor",IF(L336&lt;=365,"Slow-Moving",IF(L336&lt;=730,"Excess","Obsolete"))))))</x:f>
      </x:c>
    </x:row>
    <x:row r="337">
      <x:c r="A337" s="40"/>
      <x:c r="I337" s="42"/>
      <x:c r="J337" s="42" t="str">
        <x:f>IF(OR(H337="",I337=""),"",H337*I337)</x:f>
      </x:c>
      <x:c r="K337" s="40"/>
      <x:c r="L337" t="str">
        <x:f>IF(K337="","",A337-K337)</x:f>
      </x:c>
      <x:c r="M337" t="str">
        <x:f>IF(L337="","",IF(N337="Yes","Strategic Legacy",IF(L337&lt;=90,"Active",IF(L337&lt;=180,"Monitor",IF(L337&lt;=365,"Slow-Moving",IF(L337&lt;=730,"Excess","Obsolete"))))))</x:f>
      </x:c>
    </x:row>
    <x:row r="338">
      <x:c r="A338" s="40"/>
      <x:c r="I338" s="42"/>
      <x:c r="J338" s="42" t="str">
        <x:f>IF(OR(H338="",I338=""),"",H338*I338)</x:f>
      </x:c>
      <x:c r="K338" s="40"/>
      <x:c r="L338" t="str">
        <x:f>IF(K338="","",A338-K338)</x:f>
      </x:c>
      <x:c r="M338" t="str">
        <x:f>IF(L338="","",IF(N338="Yes","Strategic Legacy",IF(L338&lt;=90,"Active",IF(L338&lt;=180,"Monitor",IF(L338&lt;=365,"Slow-Moving",IF(L338&lt;=730,"Excess","Obsolete"))))))</x:f>
      </x:c>
    </x:row>
    <x:row r="339">
      <x:c r="A339" s="40"/>
      <x:c r="I339" s="42"/>
      <x:c r="J339" s="42" t="str">
        <x:f>IF(OR(H339="",I339=""),"",H339*I339)</x:f>
      </x:c>
      <x:c r="K339" s="40"/>
      <x:c r="L339" t="str">
        <x:f>IF(K339="","",A339-K339)</x:f>
      </x:c>
      <x:c r="M339" t="str">
        <x:f>IF(L339="","",IF(N339="Yes","Strategic Legacy",IF(L339&lt;=90,"Active",IF(L339&lt;=180,"Monitor",IF(L339&lt;=365,"Slow-Moving",IF(L339&lt;=730,"Excess","Obsolete"))))))</x:f>
      </x:c>
    </x:row>
    <x:row r="340">
      <x:c r="A340" s="40"/>
      <x:c r="I340" s="42"/>
      <x:c r="J340" s="42" t="str">
        <x:f>IF(OR(H340="",I340=""),"",H340*I340)</x:f>
      </x:c>
      <x:c r="K340" s="40"/>
      <x:c r="L340" t="str">
        <x:f>IF(K340="","",A340-K340)</x:f>
      </x:c>
      <x:c r="M340" t="str">
        <x:f>IF(L340="","",IF(N340="Yes","Strategic Legacy",IF(L340&lt;=90,"Active",IF(L340&lt;=180,"Monitor",IF(L340&lt;=365,"Slow-Moving",IF(L340&lt;=730,"Excess","Obsolete"))))))</x:f>
      </x:c>
    </x:row>
    <x:row r="341">
      <x:c r="A341" s="40"/>
      <x:c r="I341" s="42"/>
      <x:c r="J341" s="42" t="str">
        <x:f>IF(OR(H341="",I341=""),"",H341*I341)</x:f>
      </x:c>
      <x:c r="K341" s="40"/>
      <x:c r="L341" t="str">
        <x:f>IF(K341="","",A341-K341)</x:f>
      </x:c>
      <x:c r="M341" t="str">
        <x:f>IF(L341="","",IF(N341="Yes","Strategic Legacy",IF(L341&lt;=90,"Active",IF(L341&lt;=180,"Monitor",IF(L341&lt;=365,"Slow-Moving",IF(L341&lt;=730,"Excess","Obsolete"))))))</x:f>
      </x:c>
    </x:row>
    <x:row r="342">
      <x:c r="A342" s="40"/>
      <x:c r="I342" s="42"/>
      <x:c r="J342" s="42" t="str">
        <x:f>IF(OR(H342="",I342=""),"",H342*I342)</x:f>
      </x:c>
      <x:c r="K342" s="40"/>
      <x:c r="L342" t="str">
        <x:f>IF(K342="","",A342-K342)</x:f>
      </x:c>
      <x:c r="M342" t="str">
        <x:f>IF(L342="","",IF(N342="Yes","Strategic Legacy",IF(L342&lt;=90,"Active",IF(L342&lt;=180,"Monitor",IF(L342&lt;=365,"Slow-Moving",IF(L342&lt;=730,"Excess","Obsolete"))))))</x:f>
      </x:c>
    </x:row>
    <x:row r="343">
      <x:c r="A343" s="40"/>
      <x:c r="I343" s="42"/>
      <x:c r="J343" s="42" t="str">
        <x:f>IF(OR(H343="",I343=""),"",H343*I343)</x:f>
      </x:c>
      <x:c r="K343" s="40"/>
      <x:c r="L343" t="str">
        <x:f>IF(K343="","",A343-K343)</x:f>
      </x:c>
      <x:c r="M343" t="str">
        <x:f>IF(L343="","",IF(N343="Yes","Strategic Legacy",IF(L343&lt;=90,"Active",IF(L343&lt;=180,"Monitor",IF(L343&lt;=365,"Slow-Moving",IF(L343&lt;=730,"Excess","Obsolete"))))))</x:f>
      </x:c>
    </x:row>
    <x:row r="344">
      <x:c r="A344" s="40"/>
      <x:c r="I344" s="42"/>
      <x:c r="J344" s="42" t="str">
        <x:f>IF(OR(H344="",I344=""),"",H344*I344)</x:f>
      </x:c>
      <x:c r="K344" s="40"/>
      <x:c r="L344" t="str">
        <x:f>IF(K344="","",A344-K344)</x:f>
      </x:c>
      <x:c r="M344" t="str">
        <x:f>IF(L344="","",IF(N344="Yes","Strategic Legacy",IF(L344&lt;=90,"Active",IF(L344&lt;=180,"Monitor",IF(L344&lt;=365,"Slow-Moving",IF(L344&lt;=730,"Excess","Obsolete"))))))</x:f>
      </x:c>
    </x:row>
    <x:row r="345">
      <x:c r="A345" s="40"/>
      <x:c r="I345" s="42"/>
      <x:c r="J345" s="42" t="str">
        <x:f>IF(OR(H345="",I345=""),"",H345*I345)</x:f>
      </x:c>
      <x:c r="K345" s="40"/>
      <x:c r="L345" t="str">
        <x:f>IF(K345="","",A345-K345)</x:f>
      </x:c>
      <x:c r="M345" t="str">
        <x:f>IF(L345="","",IF(N345="Yes","Strategic Legacy",IF(L345&lt;=90,"Active",IF(L345&lt;=180,"Monitor",IF(L345&lt;=365,"Slow-Moving",IF(L345&lt;=730,"Excess","Obsolete"))))))</x:f>
      </x:c>
    </x:row>
    <x:row r="346">
      <x:c r="A346" s="40"/>
      <x:c r="I346" s="42"/>
      <x:c r="J346" s="42" t="str">
        <x:f>IF(OR(H346="",I346=""),"",H346*I346)</x:f>
      </x:c>
      <x:c r="K346" s="40"/>
      <x:c r="L346" t="str">
        <x:f>IF(K346="","",A346-K346)</x:f>
      </x:c>
      <x:c r="M346" t="str">
        <x:f>IF(L346="","",IF(N346="Yes","Strategic Legacy",IF(L346&lt;=90,"Active",IF(L346&lt;=180,"Monitor",IF(L346&lt;=365,"Slow-Moving",IF(L346&lt;=730,"Excess","Obsolete"))))))</x:f>
      </x:c>
    </x:row>
    <x:row r="347">
      <x:c r="A347" s="40"/>
      <x:c r="I347" s="42"/>
      <x:c r="J347" s="42" t="str">
        <x:f>IF(OR(H347="",I347=""),"",H347*I347)</x:f>
      </x:c>
      <x:c r="K347" s="40"/>
      <x:c r="L347" t="str">
        <x:f>IF(K347="","",A347-K347)</x:f>
      </x:c>
      <x:c r="M347" t="str">
        <x:f>IF(L347="","",IF(N347="Yes","Strategic Legacy",IF(L347&lt;=90,"Active",IF(L347&lt;=180,"Monitor",IF(L347&lt;=365,"Slow-Moving",IF(L347&lt;=730,"Excess","Obsolete"))))))</x:f>
      </x:c>
    </x:row>
    <x:row r="348">
      <x:c r="A348" s="40"/>
      <x:c r="I348" s="42"/>
      <x:c r="J348" s="42" t="str">
        <x:f>IF(OR(H348="",I348=""),"",H348*I348)</x:f>
      </x:c>
      <x:c r="K348" s="40"/>
      <x:c r="L348" t="str">
        <x:f>IF(K348="","",A348-K348)</x:f>
      </x:c>
      <x:c r="M348" t="str">
        <x:f>IF(L348="","",IF(N348="Yes","Strategic Legacy",IF(L348&lt;=90,"Active",IF(L348&lt;=180,"Monitor",IF(L348&lt;=365,"Slow-Moving",IF(L348&lt;=730,"Excess","Obsolete"))))))</x:f>
      </x:c>
    </x:row>
    <x:row r="349">
      <x:c r="A349" s="40"/>
      <x:c r="I349" s="42"/>
      <x:c r="J349" s="42" t="str">
        <x:f>IF(OR(H349="",I349=""),"",H349*I349)</x:f>
      </x:c>
      <x:c r="K349" s="40"/>
      <x:c r="L349" t="str">
        <x:f>IF(K349="","",A349-K349)</x:f>
      </x:c>
      <x:c r="M349" t="str">
        <x:f>IF(L349="","",IF(N349="Yes","Strategic Legacy",IF(L349&lt;=90,"Active",IF(L349&lt;=180,"Monitor",IF(L349&lt;=365,"Slow-Moving",IF(L349&lt;=730,"Excess","Obsolete"))))))</x:f>
      </x:c>
    </x:row>
    <x:row r="350">
      <x:c r="A350" s="40"/>
      <x:c r="I350" s="42"/>
      <x:c r="J350" s="42" t="str">
        <x:f>IF(OR(H350="",I350=""),"",H350*I350)</x:f>
      </x:c>
      <x:c r="K350" s="40"/>
      <x:c r="L350" t="str">
        <x:f>IF(K350="","",A350-K350)</x:f>
      </x:c>
      <x:c r="M350" t="str">
        <x:f>IF(L350="","",IF(N350="Yes","Strategic Legacy",IF(L350&lt;=90,"Active",IF(L350&lt;=180,"Monitor",IF(L350&lt;=365,"Slow-Moving",IF(L350&lt;=730,"Excess","Obsolete"))))))</x:f>
      </x:c>
    </x:row>
    <x:row r="351">
      <x:c r="A351" s="40"/>
      <x:c r="I351" s="42"/>
      <x:c r="J351" s="42" t="str">
        <x:f>IF(OR(H351="",I351=""),"",H351*I351)</x:f>
      </x:c>
      <x:c r="K351" s="40"/>
      <x:c r="L351" t="str">
        <x:f>IF(K351="","",A351-K351)</x:f>
      </x:c>
      <x:c r="M351" t="str">
        <x:f>IF(L351="","",IF(N351="Yes","Strategic Legacy",IF(L351&lt;=90,"Active",IF(L351&lt;=180,"Monitor",IF(L351&lt;=365,"Slow-Moving",IF(L351&lt;=730,"Excess","Obsolete"))))))</x:f>
      </x:c>
    </x:row>
    <x:row r="352">
      <x:c r="A352" s="40"/>
      <x:c r="I352" s="42"/>
      <x:c r="J352" s="42" t="str">
        <x:f>IF(OR(H352="",I352=""),"",H352*I352)</x:f>
      </x:c>
      <x:c r="K352" s="40"/>
      <x:c r="L352" t="str">
        <x:f>IF(K352="","",A352-K352)</x:f>
      </x:c>
      <x:c r="M352" t="str">
        <x:f>IF(L352="","",IF(N352="Yes","Strategic Legacy",IF(L352&lt;=90,"Active",IF(L352&lt;=180,"Monitor",IF(L352&lt;=365,"Slow-Moving",IF(L352&lt;=730,"Excess","Obsolete"))))))</x:f>
      </x:c>
    </x:row>
    <x:row r="353">
      <x:c r="A353" s="40"/>
      <x:c r="I353" s="42"/>
      <x:c r="J353" s="42" t="str">
        <x:f>IF(OR(H353="",I353=""),"",H353*I353)</x:f>
      </x:c>
      <x:c r="K353" s="40"/>
      <x:c r="L353" t="str">
        <x:f>IF(K353="","",A353-K353)</x:f>
      </x:c>
      <x:c r="M353" t="str">
        <x:f>IF(L353="","",IF(N353="Yes","Strategic Legacy",IF(L353&lt;=90,"Active",IF(L353&lt;=180,"Monitor",IF(L353&lt;=365,"Slow-Moving",IF(L353&lt;=730,"Excess","Obsolete"))))))</x:f>
      </x:c>
    </x:row>
    <x:row r="354">
      <x:c r="A354" s="40"/>
      <x:c r="I354" s="42"/>
      <x:c r="J354" s="42" t="str">
        <x:f>IF(OR(H354="",I354=""),"",H354*I354)</x:f>
      </x:c>
      <x:c r="K354" s="40"/>
      <x:c r="L354" t="str">
        <x:f>IF(K354="","",A354-K354)</x:f>
      </x:c>
      <x:c r="M354" t="str">
        <x:f>IF(L354="","",IF(N354="Yes","Strategic Legacy",IF(L354&lt;=90,"Active",IF(L354&lt;=180,"Monitor",IF(L354&lt;=365,"Slow-Moving",IF(L354&lt;=730,"Excess","Obsolete"))))))</x:f>
      </x:c>
    </x:row>
    <x:row r="355">
      <x:c r="A355" s="40"/>
      <x:c r="I355" s="42"/>
      <x:c r="J355" s="42" t="str">
        <x:f>IF(OR(H355="",I355=""),"",H355*I355)</x:f>
      </x:c>
      <x:c r="K355" s="40"/>
      <x:c r="L355" t="str">
        <x:f>IF(K355="","",A355-K355)</x:f>
      </x:c>
      <x:c r="M355" t="str">
        <x:f>IF(L355="","",IF(N355="Yes","Strategic Legacy",IF(L355&lt;=90,"Active",IF(L355&lt;=180,"Monitor",IF(L355&lt;=365,"Slow-Moving",IF(L355&lt;=730,"Excess","Obsolete"))))))</x:f>
      </x:c>
    </x:row>
    <x:row r="356">
      <x:c r="A356" s="40"/>
      <x:c r="I356" s="42"/>
      <x:c r="J356" s="42" t="str">
        <x:f>IF(OR(H356="",I356=""),"",H356*I356)</x:f>
      </x:c>
      <x:c r="K356" s="40"/>
      <x:c r="L356" t="str">
        <x:f>IF(K356="","",A356-K356)</x:f>
      </x:c>
      <x:c r="M356" t="str">
        <x:f>IF(L356="","",IF(N356="Yes","Strategic Legacy",IF(L356&lt;=90,"Active",IF(L356&lt;=180,"Monitor",IF(L356&lt;=365,"Slow-Moving",IF(L356&lt;=730,"Excess","Obsolete"))))))</x:f>
      </x:c>
    </x:row>
    <x:row r="357">
      <x:c r="A357" s="40"/>
      <x:c r="I357" s="42"/>
      <x:c r="J357" s="42" t="str">
        <x:f>IF(OR(H357="",I357=""),"",H357*I357)</x:f>
      </x:c>
      <x:c r="K357" s="40"/>
      <x:c r="L357" t="str">
        <x:f>IF(K357="","",A357-K357)</x:f>
      </x:c>
      <x:c r="M357" t="str">
        <x:f>IF(L357="","",IF(N357="Yes","Strategic Legacy",IF(L357&lt;=90,"Active",IF(L357&lt;=180,"Monitor",IF(L357&lt;=365,"Slow-Moving",IF(L357&lt;=730,"Excess","Obsolete"))))))</x:f>
      </x:c>
    </x:row>
    <x:row r="358">
      <x:c r="A358" s="40"/>
      <x:c r="I358" s="42"/>
      <x:c r="J358" s="42" t="str">
        <x:f>IF(OR(H358="",I358=""),"",H358*I358)</x:f>
      </x:c>
      <x:c r="K358" s="40"/>
      <x:c r="L358" t="str">
        <x:f>IF(K358="","",A358-K358)</x:f>
      </x:c>
      <x:c r="M358" t="str">
        <x:f>IF(L358="","",IF(N358="Yes","Strategic Legacy",IF(L358&lt;=90,"Active",IF(L358&lt;=180,"Monitor",IF(L358&lt;=365,"Slow-Moving",IF(L358&lt;=730,"Excess","Obsolete"))))))</x:f>
      </x:c>
    </x:row>
    <x:row r="359">
      <x:c r="A359" s="40"/>
      <x:c r="I359" s="42"/>
      <x:c r="J359" s="42" t="str">
        <x:f>IF(OR(H359="",I359=""),"",H359*I359)</x:f>
      </x:c>
      <x:c r="K359" s="40"/>
      <x:c r="L359" t="str">
        <x:f>IF(K359="","",A359-K359)</x:f>
      </x:c>
      <x:c r="M359" t="str">
        <x:f>IF(L359="","",IF(N359="Yes","Strategic Legacy",IF(L359&lt;=90,"Active",IF(L359&lt;=180,"Monitor",IF(L359&lt;=365,"Slow-Moving",IF(L359&lt;=730,"Excess","Obsolete"))))))</x:f>
      </x:c>
    </x:row>
    <x:row r="360">
      <x:c r="A360" s="40"/>
      <x:c r="I360" s="42"/>
      <x:c r="J360" s="42" t="str">
        <x:f>IF(OR(H360="",I360=""),"",H360*I360)</x:f>
      </x:c>
      <x:c r="K360" s="40"/>
      <x:c r="L360" t="str">
        <x:f>IF(K360="","",A360-K360)</x:f>
      </x:c>
      <x:c r="M360" t="str">
        <x:f>IF(L360="","",IF(N360="Yes","Strategic Legacy",IF(L360&lt;=90,"Active",IF(L360&lt;=180,"Monitor",IF(L360&lt;=365,"Slow-Moving",IF(L360&lt;=730,"Excess","Obsolete"))))))</x:f>
      </x:c>
    </x:row>
    <x:row r="361">
      <x:c r="A361" s="40"/>
      <x:c r="I361" s="42"/>
      <x:c r="J361" s="42" t="str">
        <x:f>IF(OR(H361="",I361=""),"",H361*I361)</x:f>
      </x:c>
      <x:c r="K361" s="40"/>
      <x:c r="L361" t="str">
        <x:f>IF(K361="","",A361-K361)</x:f>
      </x:c>
      <x:c r="M361" t="str">
        <x:f>IF(L361="","",IF(N361="Yes","Strategic Legacy",IF(L361&lt;=90,"Active",IF(L361&lt;=180,"Monitor",IF(L361&lt;=365,"Slow-Moving",IF(L361&lt;=730,"Excess","Obsolete"))))))</x:f>
      </x:c>
    </x:row>
    <x:row r="362">
      <x:c r="A362" s="40"/>
      <x:c r="I362" s="42"/>
      <x:c r="J362" s="42" t="str">
        <x:f>IF(OR(H362="",I362=""),"",H362*I362)</x:f>
      </x:c>
      <x:c r="K362" s="40"/>
      <x:c r="L362" t="str">
        <x:f>IF(K362="","",A362-K362)</x:f>
      </x:c>
      <x:c r="M362" t="str">
        <x:f>IF(L362="","",IF(N362="Yes","Strategic Legacy",IF(L362&lt;=90,"Active",IF(L362&lt;=180,"Monitor",IF(L362&lt;=365,"Slow-Moving",IF(L362&lt;=730,"Excess","Obsolete"))))))</x:f>
      </x:c>
    </x:row>
    <x:row r="363">
      <x:c r="A363" s="40"/>
      <x:c r="I363" s="42"/>
      <x:c r="J363" s="42" t="str">
        <x:f>IF(OR(H363="",I363=""),"",H363*I363)</x:f>
      </x:c>
      <x:c r="K363" s="40"/>
      <x:c r="L363" t="str">
        <x:f>IF(K363="","",A363-K363)</x:f>
      </x:c>
      <x:c r="M363" t="str">
        <x:f>IF(L363="","",IF(N363="Yes","Strategic Legacy",IF(L363&lt;=90,"Active",IF(L363&lt;=180,"Monitor",IF(L363&lt;=365,"Slow-Moving",IF(L363&lt;=730,"Excess","Obsolete"))))))</x:f>
      </x:c>
    </x:row>
    <x:row r="364">
      <x:c r="A364" s="40"/>
      <x:c r="I364" s="42"/>
      <x:c r="J364" s="42" t="str">
        <x:f>IF(OR(H364="",I364=""),"",H364*I364)</x:f>
      </x:c>
      <x:c r="K364" s="40"/>
      <x:c r="L364" t="str">
        <x:f>IF(K364="","",A364-K364)</x:f>
      </x:c>
      <x:c r="M364" t="str">
        <x:f>IF(L364="","",IF(N364="Yes","Strategic Legacy",IF(L364&lt;=90,"Active",IF(L364&lt;=180,"Monitor",IF(L364&lt;=365,"Slow-Moving",IF(L364&lt;=730,"Excess","Obsolete"))))))</x:f>
      </x:c>
    </x:row>
    <x:row r="365">
      <x:c r="A365" s="40"/>
      <x:c r="I365" s="42"/>
      <x:c r="J365" s="42" t="str">
        <x:f>IF(OR(H365="",I365=""),"",H365*I365)</x:f>
      </x:c>
      <x:c r="K365" s="40"/>
      <x:c r="L365" t="str">
        <x:f>IF(K365="","",A365-K365)</x:f>
      </x:c>
      <x:c r="M365" t="str">
        <x:f>IF(L365="","",IF(N365="Yes","Strategic Legacy",IF(L365&lt;=90,"Active",IF(L365&lt;=180,"Monitor",IF(L365&lt;=365,"Slow-Moving",IF(L365&lt;=730,"Excess","Obsolete"))))))</x:f>
      </x:c>
    </x:row>
    <x:row r="366">
      <x:c r="A366" s="40"/>
      <x:c r="I366" s="42"/>
      <x:c r="J366" s="42" t="str">
        <x:f>IF(OR(H366="",I366=""),"",H366*I366)</x:f>
      </x:c>
      <x:c r="K366" s="40"/>
      <x:c r="L366" t="str">
        <x:f>IF(K366="","",A366-K366)</x:f>
      </x:c>
      <x:c r="M366" t="str">
        <x:f>IF(L366="","",IF(N366="Yes","Strategic Legacy",IF(L366&lt;=90,"Active",IF(L366&lt;=180,"Monitor",IF(L366&lt;=365,"Slow-Moving",IF(L366&lt;=730,"Excess","Obsolete"))))))</x:f>
      </x:c>
    </x:row>
    <x:row r="367">
      <x:c r="A367" s="40"/>
      <x:c r="I367" s="42"/>
      <x:c r="J367" s="42" t="str">
        <x:f>IF(OR(H367="",I367=""),"",H367*I367)</x:f>
      </x:c>
      <x:c r="K367" s="40"/>
      <x:c r="L367" t="str">
        <x:f>IF(K367="","",A367-K367)</x:f>
      </x:c>
      <x:c r="M367" t="str">
        <x:f>IF(L367="","",IF(N367="Yes","Strategic Legacy",IF(L367&lt;=90,"Active",IF(L367&lt;=180,"Monitor",IF(L367&lt;=365,"Slow-Moving",IF(L367&lt;=730,"Excess","Obsolete"))))))</x:f>
      </x:c>
    </x:row>
    <x:row r="368">
      <x:c r="A368" s="40"/>
      <x:c r="I368" s="42"/>
      <x:c r="J368" s="42" t="str">
        <x:f>IF(OR(H368="",I368=""),"",H368*I368)</x:f>
      </x:c>
      <x:c r="K368" s="40"/>
      <x:c r="L368" t="str">
        <x:f>IF(K368="","",A368-K368)</x:f>
      </x:c>
      <x:c r="M368" t="str">
        <x:f>IF(L368="","",IF(N368="Yes","Strategic Legacy",IF(L368&lt;=90,"Active",IF(L368&lt;=180,"Monitor",IF(L368&lt;=365,"Slow-Moving",IF(L368&lt;=730,"Excess","Obsolete"))))))</x:f>
      </x:c>
    </x:row>
    <x:row r="369">
      <x:c r="A369" s="40"/>
      <x:c r="I369" s="42"/>
      <x:c r="J369" s="42" t="str">
        <x:f>IF(OR(H369="",I369=""),"",H369*I369)</x:f>
      </x:c>
      <x:c r="K369" s="40"/>
      <x:c r="L369" t="str">
        <x:f>IF(K369="","",A369-K369)</x:f>
      </x:c>
      <x:c r="M369" t="str">
        <x:f>IF(L369="","",IF(N369="Yes","Strategic Legacy",IF(L369&lt;=90,"Active",IF(L369&lt;=180,"Monitor",IF(L369&lt;=365,"Slow-Moving",IF(L369&lt;=730,"Excess","Obsolete"))))))</x:f>
      </x:c>
    </x:row>
    <x:row r="370">
      <x:c r="A370" s="40"/>
      <x:c r="I370" s="42"/>
      <x:c r="J370" s="42" t="str">
        <x:f>IF(OR(H370="",I370=""),"",H370*I370)</x:f>
      </x:c>
      <x:c r="K370" s="40"/>
      <x:c r="L370" t="str">
        <x:f>IF(K370="","",A370-K370)</x:f>
      </x:c>
      <x:c r="M370" t="str">
        <x:f>IF(L370="","",IF(N370="Yes","Strategic Legacy",IF(L370&lt;=90,"Active",IF(L370&lt;=180,"Monitor",IF(L370&lt;=365,"Slow-Moving",IF(L370&lt;=730,"Excess","Obsolete"))))))</x:f>
      </x:c>
    </x:row>
    <x:row r="371">
      <x:c r="A371" s="40"/>
      <x:c r="I371" s="42"/>
      <x:c r="J371" s="42" t="str">
        <x:f>IF(OR(H371="",I371=""),"",H371*I371)</x:f>
      </x:c>
      <x:c r="K371" s="40"/>
      <x:c r="L371" t="str">
        <x:f>IF(K371="","",A371-K371)</x:f>
      </x:c>
      <x:c r="M371" t="str">
        <x:f>IF(L371="","",IF(N371="Yes","Strategic Legacy",IF(L371&lt;=90,"Active",IF(L371&lt;=180,"Monitor",IF(L371&lt;=365,"Slow-Moving",IF(L371&lt;=730,"Excess","Obsolete"))))))</x:f>
      </x:c>
    </x:row>
    <x:row r="372">
      <x:c r="A372" s="40"/>
      <x:c r="I372" s="42"/>
      <x:c r="J372" s="42" t="str">
        <x:f>IF(OR(H372="",I372=""),"",H372*I372)</x:f>
      </x:c>
      <x:c r="K372" s="40"/>
      <x:c r="L372" t="str">
        <x:f>IF(K372="","",A372-K372)</x:f>
      </x:c>
      <x:c r="M372" t="str">
        <x:f>IF(L372="","",IF(N372="Yes","Strategic Legacy",IF(L372&lt;=90,"Active",IF(L372&lt;=180,"Monitor",IF(L372&lt;=365,"Slow-Moving",IF(L372&lt;=730,"Excess","Obsolete"))))))</x:f>
      </x:c>
    </x:row>
    <x:row r="373">
      <x:c r="A373" s="40"/>
      <x:c r="I373" s="42"/>
      <x:c r="J373" s="42" t="str">
        <x:f>IF(OR(H373="",I373=""),"",H373*I373)</x:f>
      </x:c>
      <x:c r="K373" s="40"/>
      <x:c r="L373" t="str">
        <x:f>IF(K373="","",A373-K373)</x:f>
      </x:c>
      <x:c r="M373" t="str">
        <x:f>IF(L373="","",IF(N373="Yes","Strategic Legacy",IF(L373&lt;=90,"Active",IF(L373&lt;=180,"Monitor",IF(L373&lt;=365,"Slow-Moving",IF(L373&lt;=730,"Excess","Obsolete"))))))</x:f>
      </x:c>
    </x:row>
    <x:row r="374">
      <x:c r="A374" s="40"/>
      <x:c r="I374" s="42"/>
      <x:c r="J374" s="42" t="str">
        <x:f>IF(OR(H374="",I374=""),"",H374*I374)</x:f>
      </x:c>
      <x:c r="K374" s="40"/>
      <x:c r="L374" t="str">
        <x:f>IF(K374="","",A374-K374)</x:f>
      </x:c>
      <x:c r="M374" t="str">
        <x:f>IF(L374="","",IF(N374="Yes","Strategic Legacy",IF(L374&lt;=90,"Active",IF(L374&lt;=180,"Monitor",IF(L374&lt;=365,"Slow-Moving",IF(L374&lt;=730,"Excess","Obsolete"))))))</x:f>
      </x:c>
    </x:row>
    <x:row r="375">
      <x:c r="A375" s="40"/>
      <x:c r="I375" s="42"/>
      <x:c r="J375" s="42" t="str">
        <x:f>IF(OR(H375="",I375=""),"",H375*I375)</x:f>
      </x:c>
      <x:c r="K375" s="40"/>
      <x:c r="L375" t="str">
        <x:f>IF(K375="","",A375-K375)</x:f>
      </x:c>
      <x:c r="M375" t="str">
        <x:f>IF(L375="","",IF(N375="Yes","Strategic Legacy",IF(L375&lt;=90,"Active",IF(L375&lt;=180,"Monitor",IF(L375&lt;=365,"Slow-Moving",IF(L375&lt;=730,"Excess","Obsolete"))))))</x:f>
      </x:c>
    </x:row>
    <x:row r="376">
      <x:c r="A376" s="40"/>
      <x:c r="I376" s="42"/>
      <x:c r="J376" s="42" t="str">
        <x:f>IF(OR(H376="",I376=""),"",H376*I376)</x:f>
      </x:c>
      <x:c r="K376" s="40"/>
      <x:c r="L376" t="str">
        <x:f>IF(K376="","",A376-K376)</x:f>
      </x:c>
      <x:c r="M376" t="str">
        <x:f>IF(L376="","",IF(N376="Yes","Strategic Legacy",IF(L376&lt;=90,"Active",IF(L376&lt;=180,"Monitor",IF(L376&lt;=365,"Slow-Moving",IF(L376&lt;=730,"Excess","Obsolete"))))))</x:f>
      </x:c>
    </x:row>
    <x:row r="377">
      <x:c r="A377" s="40"/>
      <x:c r="I377" s="42"/>
      <x:c r="J377" s="42" t="str">
        <x:f>IF(OR(H377="",I377=""),"",H377*I377)</x:f>
      </x:c>
      <x:c r="K377" s="40"/>
      <x:c r="L377" t="str">
        <x:f>IF(K377="","",A377-K377)</x:f>
      </x:c>
      <x:c r="M377" t="str">
        <x:f>IF(L377="","",IF(N377="Yes","Strategic Legacy",IF(L377&lt;=90,"Active",IF(L377&lt;=180,"Monitor",IF(L377&lt;=365,"Slow-Moving",IF(L377&lt;=730,"Excess","Obsolete"))))))</x:f>
      </x:c>
    </x:row>
    <x:row r="378">
      <x:c r="A378" s="40"/>
      <x:c r="I378" s="42"/>
      <x:c r="J378" s="42" t="str">
        <x:f>IF(OR(H378="",I378=""),"",H378*I378)</x:f>
      </x:c>
      <x:c r="K378" s="40"/>
      <x:c r="L378" t="str">
        <x:f>IF(K378="","",A378-K378)</x:f>
      </x:c>
      <x:c r="M378" t="str">
        <x:f>IF(L378="","",IF(N378="Yes","Strategic Legacy",IF(L378&lt;=90,"Active",IF(L378&lt;=180,"Monitor",IF(L378&lt;=365,"Slow-Moving",IF(L378&lt;=730,"Excess","Obsolete"))))))</x:f>
      </x:c>
    </x:row>
    <x:row r="379">
      <x:c r="A379" s="40"/>
      <x:c r="I379" s="42"/>
      <x:c r="J379" s="42" t="str">
        <x:f>IF(OR(H379="",I379=""),"",H379*I379)</x:f>
      </x:c>
      <x:c r="K379" s="40"/>
      <x:c r="L379" t="str">
        <x:f>IF(K379="","",A379-K379)</x:f>
      </x:c>
      <x:c r="M379" t="str">
        <x:f>IF(L379="","",IF(N379="Yes","Strategic Legacy",IF(L379&lt;=90,"Active",IF(L379&lt;=180,"Monitor",IF(L379&lt;=365,"Slow-Moving",IF(L379&lt;=730,"Excess","Obsolete"))))))</x:f>
      </x:c>
    </x:row>
    <x:row r="380">
      <x:c r="A380" s="40"/>
      <x:c r="I380" s="42"/>
      <x:c r="J380" s="42" t="str">
        <x:f>IF(OR(H380="",I380=""),"",H380*I380)</x:f>
      </x:c>
      <x:c r="K380" s="40"/>
      <x:c r="L380" t="str">
        <x:f>IF(K380="","",A380-K380)</x:f>
      </x:c>
      <x:c r="M380" t="str">
        <x:f>IF(L380="","",IF(N380="Yes","Strategic Legacy",IF(L380&lt;=90,"Active",IF(L380&lt;=180,"Monitor",IF(L380&lt;=365,"Slow-Moving",IF(L380&lt;=730,"Excess","Obsolete"))))))</x:f>
      </x:c>
    </x:row>
    <x:row r="381">
      <x:c r="A381" s="40"/>
      <x:c r="I381" s="42"/>
      <x:c r="J381" s="42" t="str">
        <x:f>IF(OR(H381="",I381=""),"",H381*I381)</x:f>
      </x:c>
      <x:c r="K381" s="40"/>
      <x:c r="L381" t="str">
        <x:f>IF(K381="","",A381-K381)</x:f>
      </x:c>
      <x:c r="M381" t="str">
        <x:f>IF(L381="","",IF(N381="Yes","Strategic Legacy",IF(L381&lt;=90,"Active",IF(L381&lt;=180,"Monitor",IF(L381&lt;=365,"Slow-Moving",IF(L381&lt;=730,"Excess","Obsolete"))))))</x:f>
      </x:c>
    </x:row>
    <x:row r="382">
      <x:c r="A382" s="40"/>
      <x:c r="I382" s="42"/>
      <x:c r="J382" s="42" t="str">
        <x:f>IF(OR(H382="",I382=""),"",H382*I382)</x:f>
      </x:c>
      <x:c r="K382" s="40"/>
      <x:c r="L382" t="str">
        <x:f>IF(K382="","",A382-K382)</x:f>
      </x:c>
      <x:c r="M382" t="str">
        <x:f>IF(L382="","",IF(N382="Yes","Strategic Legacy",IF(L382&lt;=90,"Active",IF(L382&lt;=180,"Monitor",IF(L382&lt;=365,"Slow-Moving",IF(L382&lt;=730,"Excess","Obsolete"))))))</x:f>
      </x:c>
    </x:row>
    <x:row r="383">
      <x:c r="A383" s="40"/>
      <x:c r="I383" s="42"/>
      <x:c r="J383" s="42" t="str">
        <x:f>IF(OR(H383="",I383=""),"",H383*I383)</x:f>
      </x:c>
      <x:c r="K383" s="40"/>
      <x:c r="L383" t="str">
        <x:f>IF(K383="","",A383-K383)</x:f>
      </x:c>
      <x:c r="M383" t="str">
        <x:f>IF(L383="","",IF(N383="Yes","Strategic Legacy",IF(L383&lt;=90,"Active",IF(L383&lt;=180,"Monitor",IF(L383&lt;=365,"Slow-Moving",IF(L383&lt;=730,"Excess","Obsolete"))))))</x:f>
      </x:c>
    </x:row>
    <x:row r="384">
      <x:c r="A384" s="40"/>
      <x:c r="I384" s="42"/>
      <x:c r="J384" s="42" t="str">
        <x:f>IF(OR(H384="",I384=""),"",H384*I384)</x:f>
      </x:c>
      <x:c r="K384" s="40"/>
      <x:c r="L384" t="str">
        <x:f>IF(K384="","",A384-K384)</x:f>
      </x:c>
      <x:c r="M384" t="str">
        <x:f>IF(L384="","",IF(N384="Yes","Strategic Legacy",IF(L384&lt;=90,"Active",IF(L384&lt;=180,"Monitor",IF(L384&lt;=365,"Slow-Moving",IF(L384&lt;=730,"Excess","Obsolete"))))))</x:f>
      </x:c>
    </x:row>
    <x:row r="385">
      <x:c r="A385" s="40"/>
      <x:c r="I385" s="42"/>
      <x:c r="J385" s="42" t="str">
        <x:f>IF(OR(H385="",I385=""),"",H385*I385)</x:f>
      </x:c>
      <x:c r="K385" s="40"/>
      <x:c r="L385" t="str">
        <x:f>IF(K385="","",A385-K385)</x:f>
      </x:c>
      <x:c r="M385" t="str">
        <x:f>IF(L385="","",IF(N385="Yes","Strategic Legacy",IF(L385&lt;=90,"Active",IF(L385&lt;=180,"Monitor",IF(L385&lt;=365,"Slow-Moving",IF(L385&lt;=730,"Excess","Obsolete"))))))</x:f>
      </x:c>
    </x:row>
    <x:row r="386">
      <x:c r="A386" s="40"/>
      <x:c r="I386" s="42"/>
      <x:c r="J386" s="42" t="str">
        <x:f>IF(OR(H386="",I386=""),"",H386*I386)</x:f>
      </x:c>
      <x:c r="K386" s="40"/>
      <x:c r="L386" t="str">
        <x:f>IF(K386="","",A386-K386)</x:f>
      </x:c>
      <x:c r="M386" t="str">
        <x:f>IF(L386="","",IF(N386="Yes","Strategic Legacy",IF(L386&lt;=90,"Active",IF(L386&lt;=180,"Monitor",IF(L386&lt;=365,"Slow-Moving",IF(L386&lt;=730,"Excess","Obsolete"))))))</x:f>
      </x:c>
    </x:row>
    <x:row r="387">
      <x:c r="A387" s="40"/>
      <x:c r="I387" s="42"/>
      <x:c r="J387" s="42" t="str">
        <x:f>IF(OR(H387="",I387=""),"",H387*I387)</x:f>
      </x:c>
      <x:c r="K387" s="40"/>
      <x:c r="L387" t="str">
        <x:f>IF(K387="","",A387-K387)</x:f>
      </x:c>
      <x:c r="M387" t="str">
        <x:f>IF(L387="","",IF(N387="Yes","Strategic Legacy",IF(L387&lt;=90,"Active",IF(L387&lt;=180,"Monitor",IF(L387&lt;=365,"Slow-Moving",IF(L387&lt;=730,"Excess","Obsolete"))))))</x:f>
      </x:c>
    </x:row>
    <x:row r="388">
      <x:c r="A388" s="40"/>
      <x:c r="I388" s="42"/>
      <x:c r="J388" s="42" t="str">
        <x:f>IF(OR(H388="",I388=""),"",H388*I388)</x:f>
      </x:c>
      <x:c r="K388" s="40"/>
      <x:c r="L388" t="str">
        <x:f>IF(K388="","",A388-K388)</x:f>
      </x:c>
      <x:c r="M388" t="str">
        <x:f>IF(L388="","",IF(N388="Yes","Strategic Legacy",IF(L388&lt;=90,"Active",IF(L388&lt;=180,"Monitor",IF(L388&lt;=365,"Slow-Moving",IF(L388&lt;=730,"Excess","Obsolete"))))))</x:f>
      </x:c>
    </x:row>
    <x:row r="389">
      <x:c r="A389" s="40"/>
      <x:c r="I389" s="42"/>
      <x:c r="J389" s="42" t="str">
        <x:f>IF(OR(H389="",I389=""),"",H389*I389)</x:f>
      </x:c>
      <x:c r="K389" s="40"/>
      <x:c r="L389" t="str">
        <x:f>IF(K389="","",A389-K389)</x:f>
      </x:c>
      <x:c r="M389" t="str">
        <x:f>IF(L389="","",IF(N389="Yes","Strategic Legacy",IF(L389&lt;=90,"Active",IF(L389&lt;=180,"Monitor",IF(L389&lt;=365,"Slow-Moving",IF(L389&lt;=730,"Excess","Obsolete"))))))</x:f>
      </x:c>
    </x:row>
    <x:row r="390">
      <x:c r="A390" s="40"/>
      <x:c r="I390" s="42"/>
      <x:c r="J390" s="42" t="str">
        <x:f>IF(OR(H390="",I390=""),"",H390*I390)</x:f>
      </x:c>
      <x:c r="K390" s="40"/>
      <x:c r="L390" t="str">
        <x:f>IF(K390="","",A390-K390)</x:f>
      </x:c>
      <x:c r="M390" t="str">
        <x:f>IF(L390="","",IF(N390="Yes","Strategic Legacy",IF(L390&lt;=90,"Active",IF(L390&lt;=180,"Monitor",IF(L390&lt;=365,"Slow-Moving",IF(L390&lt;=730,"Excess","Obsolete"))))))</x:f>
      </x:c>
    </x:row>
    <x:row r="391">
      <x:c r="A391" s="40"/>
      <x:c r="I391" s="42"/>
      <x:c r="J391" s="42" t="str">
        <x:f>IF(OR(H391="",I391=""),"",H391*I391)</x:f>
      </x:c>
      <x:c r="K391" s="40"/>
      <x:c r="L391" t="str">
        <x:f>IF(K391="","",A391-K391)</x:f>
      </x:c>
      <x:c r="M391" t="str">
        <x:f>IF(L391="","",IF(N391="Yes","Strategic Legacy",IF(L391&lt;=90,"Active",IF(L391&lt;=180,"Monitor",IF(L391&lt;=365,"Slow-Moving",IF(L391&lt;=730,"Excess","Obsolete"))))))</x:f>
      </x:c>
    </x:row>
    <x:row r="392">
      <x:c r="A392" s="40"/>
      <x:c r="I392" s="42"/>
      <x:c r="J392" s="42" t="str">
        <x:f>IF(OR(H392="",I392=""),"",H392*I392)</x:f>
      </x:c>
      <x:c r="K392" s="40"/>
      <x:c r="L392" t="str">
        <x:f>IF(K392="","",A392-K392)</x:f>
      </x:c>
      <x:c r="M392" t="str">
        <x:f>IF(L392="","",IF(N392="Yes","Strategic Legacy",IF(L392&lt;=90,"Active",IF(L392&lt;=180,"Monitor",IF(L392&lt;=365,"Slow-Moving",IF(L392&lt;=730,"Excess","Obsolete"))))))</x:f>
      </x:c>
    </x:row>
    <x:row r="393">
      <x:c r="A393" s="40"/>
      <x:c r="I393" s="42"/>
      <x:c r="J393" s="42" t="str">
        <x:f>IF(OR(H393="",I393=""),"",H393*I393)</x:f>
      </x:c>
      <x:c r="K393" s="40"/>
      <x:c r="L393" t="str">
        <x:f>IF(K393="","",A393-K393)</x:f>
      </x:c>
      <x:c r="M393" t="str">
        <x:f>IF(L393="","",IF(N393="Yes","Strategic Legacy",IF(L393&lt;=90,"Active",IF(L393&lt;=180,"Monitor",IF(L393&lt;=365,"Slow-Moving",IF(L393&lt;=730,"Excess","Obsolete"))))))</x:f>
      </x:c>
    </x:row>
    <x:row r="394">
      <x:c r="A394" s="40"/>
      <x:c r="I394" s="42"/>
      <x:c r="J394" s="42" t="str">
        <x:f>IF(OR(H394="",I394=""),"",H394*I394)</x:f>
      </x:c>
      <x:c r="K394" s="40"/>
      <x:c r="L394" t="str">
        <x:f>IF(K394="","",A394-K394)</x:f>
      </x:c>
      <x:c r="M394" t="str">
        <x:f>IF(L394="","",IF(N394="Yes","Strategic Legacy",IF(L394&lt;=90,"Active",IF(L394&lt;=180,"Monitor",IF(L394&lt;=365,"Slow-Moving",IF(L394&lt;=730,"Excess","Obsolete"))))))</x:f>
      </x:c>
    </x:row>
    <x:row r="395">
      <x:c r="A395" s="40"/>
      <x:c r="I395" s="42"/>
      <x:c r="J395" s="42" t="str">
        <x:f>IF(OR(H395="",I395=""),"",H395*I395)</x:f>
      </x:c>
      <x:c r="K395" s="40"/>
      <x:c r="L395" t="str">
        <x:f>IF(K395="","",A395-K395)</x:f>
      </x:c>
      <x:c r="M395" t="str">
        <x:f>IF(L395="","",IF(N395="Yes","Strategic Legacy",IF(L395&lt;=90,"Active",IF(L395&lt;=180,"Monitor",IF(L395&lt;=365,"Slow-Moving",IF(L395&lt;=730,"Excess","Obsolete"))))))</x:f>
      </x:c>
    </x:row>
    <x:row r="396">
      <x:c r="A396" s="40"/>
      <x:c r="I396" s="42"/>
      <x:c r="J396" s="42" t="str">
        <x:f>IF(OR(H396="",I396=""),"",H396*I396)</x:f>
      </x:c>
      <x:c r="K396" s="40"/>
      <x:c r="L396" t="str">
        <x:f>IF(K396="","",A396-K396)</x:f>
      </x:c>
      <x:c r="M396" t="str">
        <x:f>IF(L396="","",IF(N396="Yes","Strategic Legacy",IF(L396&lt;=90,"Active",IF(L396&lt;=180,"Monitor",IF(L396&lt;=365,"Slow-Moving",IF(L396&lt;=730,"Excess","Obsolete"))))))</x:f>
      </x:c>
    </x:row>
    <x:row r="397">
      <x:c r="A397" s="40"/>
      <x:c r="I397" s="42"/>
      <x:c r="J397" s="42" t="str">
        <x:f>IF(OR(H397="",I397=""),"",H397*I397)</x:f>
      </x:c>
      <x:c r="K397" s="40"/>
      <x:c r="L397" t="str">
        <x:f>IF(K397="","",A397-K397)</x:f>
      </x:c>
      <x:c r="M397" t="str">
        <x:f>IF(L397="","",IF(N397="Yes","Strategic Legacy",IF(L397&lt;=90,"Active",IF(L397&lt;=180,"Monitor",IF(L397&lt;=365,"Slow-Moving",IF(L397&lt;=730,"Excess","Obsolete"))))))</x:f>
      </x:c>
    </x:row>
    <x:row r="398">
      <x:c r="A398" s="40"/>
      <x:c r="I398" s="42"/>
      <x:c r="J398" s="42" t="str">
        <x:f>IF(OR(H398="",I398=""),"",H398*I398)</x:f>
      </x:c>
      <x:c r="K398" s="40"/>
      <x:c r="L398" t="str">
        <x:f>IF(K398="","",A398-K398)</x:f>
      </x:c>
      <x:c r="M398" t="str">
        <x:f>IF(L398="","",IF(N398="Yes","Strategic Legacy",IF(L398&lt;=90,"Active",IF(L398&lt;=180,"Monitor",IF(L398&lt;=365,"Slow-Moving",IF(L398&lt;=730,"Excess","Obsolete"))))))</x:f>
      </x:c>
    </x:row>
    <x:row r="399">
      <x:c r="A399" s="40"/>
      <x:c r="I399" s="42"/>
      <x:c r="J399" s="42" t="str">
        <x:f>IF(OR(H399="",I399=""),"",H399*I399)</x:f>
      </x:c>
      <x:c r="K399" s="40"/>
      <x:c r="L399" t="str">
        <x:f>IF(K399="","",A399-K399)</x:f>
      </x:c>
      <x:c r="M399" t="str">
        <x:f>IF(L399="","",IF(N399="Yes","Strategic Legacy",IF(L399&lt;=90,"Active",IF(L399&lt;=180,"Monitor",IF(L399&lt;=365,"Slow-Moving",IF(L399&lt;=730,"Excess","Obsolete"))))))</x:f>
      </x:c>
    </x:row>
    <x:row r="400">
      <x:c r="A400" s="40"/>
      <x:c r="I400" s="42"/>
      <x:c r="J400" s="42" t="str">
        <x:f>IF(OR(H400="",I400=""),"",H400*I400)</x:f>
      </x:c>
      <x:c r="K400" s="40"/>
      <x:c r="L400" t="str">
        <x:f>IF(K400="","",A400-K400)</x:f>
      </x:c>
      <x:c r="M400" t="str">
        <x:f>IF(L400="","",IF(N400="Yes","Strategic Legacy",IF(L400&lt;=90,"Active",IF(L400&lt;=180,"Monitor",IF(L400&lt;=365,"Slow-Moving",IF(L400&lt;=730,"Excess","Obsolete"))))))</x:f>
      </x:c>
    </x:row>
    <x:row r="401">
      <x:c r="A401" s="40"/>
      <x:c r="I401" s="42"/>
      <x:c r="J401" s="42" t="str">
        <x:f>IF(OR(H401="",I401=""),"",H401*I401)</x:f>
      </x:c>
      <x:c r="K401" s="40"/>
      <x:c r="L401" t="str">
        <x:f>IF(K401="","",A401-K401)</x:f>
      </x:c>
      <x:c r="M401" t="str">
        <x:f>IF(L401="","",IF(N401="Yes","Strategic Legacy",IF(L401&lt;=90,"Active",IF(L401&lt;=180,"Monitor",IF(L401&lt;=365,"Slow-Moving",IF(L401&lt;=730,"Excess","Obsolete"))))))</x:f>
      </x:c>
    </x:row>
    <x:row r="402">
      <x:c r="A402" s="40"/>
      <x:c r="I402" s="42"/>
      <x:c r="J402" s="42" t="str">
        <x:f>IF(OR(H402="",I402=""),"",H402*I402)</x:f>
      </x:c>
      <x:c r="K402" s="40"/>
      <x:c r="L402" t="str">
        <x:f>IF(K402="","",A402-K402)</x:f>
      </x:c>
      <x:c r="M402" t="str">
        <x:f>IF(L402="","",IF(N402="Yes","Strategic Legacy",IF(L402&lt;=90,"Active",IF(L402&lt;=180,"Monitor",IF(L402&lt;=365,"Slow-Moving",IF(L402&lt;=730,"Excess","Obsolete"))))))</x:f>
      </x:c>
    </x:row>
    <x:row r="403">
      <x:c r="A403" s="40"/>
      <x:c r="I403" s="42"/>
      <x:c r="J403" s="42" t="str">
        <x:f>IF(OR(H403="",I403=""),"",H403*I403)</x:f>
      </x:c>
      <x:c r="K403" s="40"/>
      <x:c r="L403" t="str">
        <x:f>IF(K403="","",A403-K403)</x:f>
      </x:c>
      <x:c r="M403" t="str">
        <x:f>IF(L403="","",IF(N403="Yes","Strategic Legacy",IF(L403&lt;=90,"Active",IF(L403&lt;=180,"Monitor",IF(L403&lt;=365,"Slow-Moving",IF(L403&lt;=730,"Excess","Obsolete"))))))</x:f>
      </x:c>
    </x:row>
    <x:row r="404">
      <x:c r="A404" s="40"/>
      <x:c r="I404" s="42"/>
      <x:c r="J404" s="42" t="str">
        <x:f>IF(OR(H404="",I404=""),"",H404*I404)</x:f>
      </x:c>
      <x:c r="K404" s="40"/>
      <x:c r="L404" t="str">
        <x:f>IF(K404="","",A404-K404)</x:f>
      </x:c>
      <x:c r="M404" t="str">
        <x:f>IF(L404="","",IF(N404="Yes","Strategic Legacy",IF(L404&lt;=90,"Active",IF(L404&lt;=180,"Monitor",IF(L404&lt;=365,"Slow-Moving",IF(L404&lt;=730,"Excess","Obsolete"))))))</x:f>
      </x:c>
    </x:row>
    <x:row r="405">
      <x:c r="A405" s="40"/>
      <x:c r="I405" s="42"/>
      <x:c r="J405" s="42" t="str">
        <x:f>IF(OR(H405="",I405=""),"",H405*I405)</x:f>
      </x:c>
      <x:c r="K405" s="40"/>
      <x:c r="L405" t="str">
        <x:f>IF(K405="","",A405-K405)</x:f>
      </x:c>
      <x:c r="M405" t="str">
        <x:f>IF(L405="","",IF(N405="Yes","Strategic Legacy",IF(L405&lt;=90,"Active",IF(L405&lt;=180,"Monitor",IF(L405&lt;=365,"Slow-Moving",IF(L405&lt;=730,"Excess","Obsolete"))))))</x:f>
      </x:c>
    </x:row>
    <x:row r="406">
      <x:c r="A406" s="40"/>
      <x:c r="I406" s="42"/>
      <x:c r="J406" s="42" t="str">
        <x:f>IF(OR(H406="",I406=""),"",H406*I406)</x:f>
      </x:c>
      <x:c r="K406" s="40"/>
      <x:c r="L406" t="str">
        <x:f>IF(K406="","",A406-K406)</x:f>
      </x:c>
      <x:c r="M406" t="str">
        <x:f>IF(L406="","",IF(N406="Yes","Strategic Legacy",IF(L406&lt;=90,"Active",IF(L406&lt;=180,"Monitor",IF(L406&lt;=365,"Slow-Moving",IF(L406&lt;=730,"Excess","Obsolete"))))))</x:f>
      </x:c>
    </x:row>
    <x:row r="407">
      <x:c r="A407" s="40"/>
      <x:c r="I407" s="42"/>
      <x:c r="J407" s="42" t="str">
        <x:f>IF(OR(H407="",I407=""),"",H407*I407)</x:f>
      </x:c>
      <x:c r="K407" s="40"/>
      <x:c r="L407" t="str">
        <x:f>IF(K407="","",A407-K407)</x:f>
      </x:c>
      <x:c r="M407" t="str">
        <x:f>IF(L407="","",IF(N407="Yes","Strategic Legacy",IF(L407&lt;=90,"Active",IF(L407&lt;=180,"Monitor",IF(L407&lt;=365,"Slow-Moving",IF(L407&lt;=730,"Excess","Obsolete"))))))</x:f>
      </x:c>
    </x:row>
    <x:row r="408">
      <x:c r="A408" s="40"/>
      <x:c r="I408" s="42"/>
      <x:c r="J408" s="42" t="str">
        <x:f>IF(OR(H408="",I408=""),"",H408*I408)</x:f>
      </x:c>
      <x:c r="K408" s="40"/>
      <x:c r="L408" t="str">
        <x:f>IF(K408="","",A408-K408)</x:f>
      </x:c>
      <x:c r="M408" t="str">
        <x:f>IF(L408="","",IF(N408="Yes","Strategic Legacy",IF(L408&lt;=90,"Active",IF(L408&lt;=180,"Monitor",IF(L408&lt;=365,"Slow-Moving",IF(L408&lt;=730,"Excess","Obsolete"))))))</x:f>
      </x:c>
    </x:row>
    <x:row r="409">
      <x:c r="A409" s="40"/>
      <x:c r="I409" s="42"/>
      <x:c r="J409" s="42" t="str">
        <x:f>IF(OR(H409="",I409=""),"",H409*I409)</x:f>
      </x:c>
      <x:c r="K409" s="40"/>
      <x:c r="L409" t="str">
        <x:f>IF(K409="","",A409-K409)</x:f>
      </x:c>
      <x:c r="M409" t="str">
        <x:f>IF(L409="","",IF(N409="Yes","Strategic Legacy",IF(L409&lt;=90,"Active",IF(L409&lt;=180,"Monitor",IF(L409&lt;=365,"Slow-Moving",IF(L409&lt;=730,"Excess","Obsolete"))))))</x:f>
      </x:c>
    </x:row>
    <x:row r="410">
      <x:c r="A410" s="40"/>
      <x:c r="I410" s="42"/>
      <x:c r="J410" s="42" t="str">
        <x:f>IF(OR(H410="",I410=""),"",H410*I410)</x:f>
      </x:c>
      <x:c r="K410" s="40"/>
      <x:c r="L410" t="str">
        <x:f>IF(K410="","",A410-K410)</x:f>
      </x:c>
      <x:c r="M410" t="str">
        <x:f>IF(L410="","",IF(N410="Yes","Strategic Legacy",IF(L410&lt;=90,"Active",IF(L410&lt;=180,"Monitor",IF(L410&lt;=365,"Slow-Moving",IF(L410&lt;=730,"Excess","Obsolete"))))))</x:f>
      </x:c>
    </x:row>
    <x:row r="411">
      <x:c r="A411" s="40"/>
      <x:c r="I411" s="42"/>
      <x:c r="J411" s="42" t="str">
        <x:f>IF(OR(H411="",I411=""),"",H411*I411)</x:f>
      </x:c>
      <x:c r="K411" s="40"/>
      <x:c r="L411" t="str">
        <x:f>IF(K411="","",A411-K411)</x:f>
      </x:c>
      <x:c r="M411" t="str">
        <x:f>IF(L411="","",IF(N411="Yes","Strategic Legacy",IF(L411&lt;=90,"Active",IF(L411&lt;=180,"Monitor",IF(L411&lt;=365,"Slow-Moving",IF(L411&lt;=730,"Excess","Obsolete"))))))</x:f>
      </x:c>
    </x:row>
    <x:row r="412">
      <x:c r="A412" s="40"/>
      <x:c r="I412" s="42"/>
      <x:c r="J412" s="42" t="str">
        <x:f>IF(OR(H412="",I412=""),"",H412*I412)</x:f>
      </x:c>
      <x:c r="K412" s="40"/>
      <x:c r="L412" t="str">
        <x:f>IF(K412="","",A412-K412)</x:f>
      </x:c>
      <x:c r="M412" t="str">
        <x:f>IF(L412="","",IF(N412="Yes","Strategic Legacy",IF(L412&lt;=90,"Active",IF(L412&lt;=180,"Monitor",IF(L412&lt;=365,"Slow-Moving",IF(L412&lt;=730,"Excess","Obsolete"))))))</x:f>
      </x:c>
    </x:row>
    <x:row r="413">
      <x:c r="A413" s="40"/>
      <x:c r="I413" s="42"/>
      <x:c r="J413" s="42" t="str">
        <x:f>IF(OR(H413="",I413=""),"",H413*I413)</x:f>
      </x:c>
      <x:c r="K413" s="40"/>
      <x:c r="L413" t="str">
        <x:f>IF(K413="","",A413-K413)</x:f>
      </x:c>
      <x:c r="M413" t="str">
        <x:f>IF(L413="","",IF(N413="Yes","Strategic Legacy",IF(L413&lt;=90,"Active",IF(L413&lt;=180,"Monitor",IF(L413&lt;=365,"Slow-Moving",IF(L413&lt;=730,"Excess","Obsolete"))))))</x:f>
      </x:c>
    </x:row>
    <x:row r="414">
      <x:c r="A414" s="40"/>
      <x:c r="I414" s="42"/>
      <x:c r="J414" s="42" t="str">
        <x:f>IF(OR(H414="",I414=""),"",H414*I414)</x:f>
      </x:c>
      <x:c r="K414" s="40"/>
      <x:c r="L414" t="str">
        <x:f>IF(K414="","",A414-K414)</x:f>
      </x:c>
      <x:c r="M414" t="str">
        <x:f>IF(L414="","",IF(N414="Yes","Strategic Legacy",IF(L414&lt;=90,"Active",IF(L414&lt;=180,"Monitor",IF(L414&lt;=365,"Slow-Moving",IF(L414&lt;=730,"Excess","Obsolete"))))))</x:f>
      </x:c>
    </x:row>
    <x:row r="415">
      <x:c r="A415" s="40"/>
      <x:c r="I415" s="42"/>
      <x:c r="J415" s="42" t="str">
        <x:f>IF(OR(H415="",I415=""),"",H415*I415)</x:f>
      </x:c>
      <x:c r="K415" s="40"/>
      <x:c r="L415" t="str">
        <x:f>IF(K415="","",A415-K415)</x:f>
      </x:c>
      <x:c r="M415" t="str">
        <x:f>IF(L415="","",IF(N415="Yes","Strategic Legacy",IF(L415&lt;=90,"Active",IF(L415&lt;=180,"Monitor",IF(L415&lt;=365,"Slow-Moving",IF(L415&lt;=730,"Excess","Obsolete"))))))</x:f>
      </x:c>
    </x:row>
    <x:row r="416">
      <x:c r="A416" s="40"/>
      <x:c r="I416" s="42"/>
      <x:c r="J416" s="42" t="str">
        <x:f>IF(OR(H416="",I416=""),"",H416*I416)</x:f>
      </x:c>
      <x:c r="K416" s="40"/>
      <x:c r="L416" t="str">
        <x:f>IF(K416="","",A416-K416)</x:f>
      </x:c>
      <x:c r="M416" t="str">
        <x:f>IF(L416="","",IF(N416="Yes","Strategic Legacy",IF(L416&lt;=90,"Active",IF(L416&lt;=180,"Monitor",IF(L416&lt;=365,"Slow-Moving",IF(L416&lt;=730,"Excess","Obsolete"))))))</x:f>
      </x:c>
    </x:row>
    <x:row r="417">
      <x:c r="A417" s="40"/>
      <x:c r="I417" s="42"/>
      <x:c r="J417" s="42" t="str">
        <x:f>IF(OR(H417="",I417=""),"",H417*I417)</x:f>
      </x:c>
      <x:c r="K417" s="40"/>
      <x:c r="L417" t="str">
        <x:f>IF(K417="","",A417-K417)</x:f>
      </x:c>
      <x:c r="M417" t="str">
        <x:f>IF(L417="","",IF(N417="Yes","Strategic Legacy",IF(L417&lt;=90,"Active",IF(L417&lt;=180,"Monitor",IF(L417&lt;=365,"Slow-Moving",IF(L417&lt;=730,"Excess","Obsolete"))))))</x:f>
      </x:c>
    </x:row>
    <x:row r="418">
      <x:c r="A418" s="40"/>
      <x:c r="I418" s="42"/>
      <x:c r="J418" s="42" t="str">
        <x:f>IF(OR(H418="",I418=""),"",H418*I418)</x:f>
      </x:c>
      <x:c r="K418" s="40"/>
      <x:c r="L418" t="str">
        <x:f>IF(K418="","",A418-K418)</x:f>
      </x:c>
      <x:c r="M418" t="str">
        <x:f>IF(L418="","",IF(N418="Yes","Strategic Legacy",IF(L418&lt;=90,"Active",IF(L418&lt;=180,"Monitor",IF(L418&lt;=365,"Slow-Moving",IF(L418&lt;=730,"Excess","Obsolete"))))))</x:f>
      </x:c>
    </x:row>
    <x:row r="419">
      <x:c r="A419" s="40"/>
      <x:c r="I419" s="42"/>
      <x:c r="J419" s="42" t="str">
        <x:f>IF(OR(H419="",I419=""),"",H419*I419)</x:f>
      </x:c>
      <x:c r="K419" s="40"/>
      <x:c r="L419" t="str">
        <x:f>IF(K419="","",A419-K419)</x:f>
      </x:c>
      <x:c r="M419" t="str">
        <x:f>IF(L419="","",IF(N419="Yes","Strategic Legacy",IF(L419&lt;=90,"Active",IF(L419&lt;=180,"Monitor",IF(L419&lt;=365,"Slow-Moving",IF(L419&lt;=730,"Excess","Obsolete"))))))</x:f>
      </x:c>
    </x:row>
    <x:row r="420">
      <x:c r="A420" s="40"/>
      <x:c r="I420" s="42"/>
      <x:c r="J420" s="42" t="str">
        <x:f>IF(OR(H420="",I420=""),"",H420*I420)</x:f>
      </x:c>
      <x:c r="K420" s="40"/>
      <x:c r="L420" t="str">
        <x:f>IF(K420="","",A420-K420)</x:f>
      </x:c>
      <x:c r="M420" t="str">
        <x:f>IF(L420="","",IF(N420="Yes","Strategic Legacy",IF(L420&lt;=90,"Active",IF(L420&lt;=180,"Monitor",IF(L420&lt;=365,"Slow-Moving",IF(L420&lt;=730,"Excess","Obsolete"))))))</x:f>
      </x:c>
    </x:row>
    <x:row r="421">
      <x:c r="A421" s="40"/>
      <x:c r="I421" s="42"/>
      <x:c r="J421" s="42" t="str">
        <x:f>IF(OR(H421="",I421=""),"",H421*I421)</x:f>
      </x:c>
      <x:c r="K421" s="40"/>
      <x:c r="L421" t="str">
        <x:f>IF(K421="","",A421-K421)</x:f>
      </x:c>
      <x:c r="M421" t="str">
        <x:f>IF(L421="","",IF(N421="Yes","Strategic Legacy",IF(L421&lt;=90,"Active",IF(L421&lt;=180,"Monitor",IF(L421&lt;=365,"Slow-Moving",IF(L421&lt;=730,"Excess","Obsolete"))))))</x:f>
      </x:c>
    </x:row>
    <x:row r="422">
      <x:c r="A422" s="40"/>
      <x:c r="I422" s="42"/>
      <x:c r="J422" s="42" t="str">
        <x:f>IF(OR(H422="",I422=""),"",H422*I422)</x:f>
      </x:c>
      <x:c r="K422" s="40"/>
      <x:c r="L422" t="str">
        <x:f>IF(K422="","",A422-K422)</x:f>
      </x:c>
      <x:c r="M422" t="str">
        <x:f>IF(L422="","",IF(N422="Yes","Strategic Legacy",IF(L422&lt;=90,"Active",IF(L422&lt;=180,"Monitor",IF(L422&lt;=365,"Slow-Moving",IF(L422&lt;=730,"Excess","Obsolete"))))))</x:f>
      </x:c>
    </x:row>
    <x:row r="423">
      <x:c r="A423" s="40"/>
      <x:c r="I423" s="42"/>
      <x:c r="J423" s="42" t="str">
        <x:f>IF(OR(H423="",I423=""),"",H423*I423)</x:f>
      </x:c>
      <x:c r="K423" s="40"/>
      <x:c r="L423" t="str">
        <x:f>IF(K423="","",A423-K423)</x:f>
      </x:c>
      <x:c r="M423" t="str">
        <x:f>IF(L423="","",IF(N423="Yes","Strategic Legacy",IF(L423&lt;=90,"Active",IF(L423&lt;=180,"Monitor",IF(L423&lt;=365,"Slow-Moving",IF(L423&lt;=730,"Excess","Obsolete"))))))</x:f>
      </x:c>
    </x:row>
    <x:row r="424">
      <x:c r="A424" s="40"/>
      <x:c r="I424" s="42"/>
      <x:c r="J424" s="42" t="str">
        <x:f>IF(OR(H424="",I424=""),"",H424*I424)</x:f>
      </x:c>
      <x:c r="K424" s="40"/>
      <x:c r="L424" t="str">
        <x:f>IF(K424="","",A424-K424)</x:f>
      </x:c>
      <x:c r="M424" t="str">
        <x:f>IF(L424="","",IF(N424="Yes","Strategic Legacy",IF(L424&lt;=90,"Active",IF(L424&lt;=180,"Monitor",IF(L424&lt;=365,"Slow-Moving",IF(L424&lt;=730,"Excess","Obsolete"))))))</x:f>
      </x:c>
    </x:row>
    <x:row r="425">
      <x:c r="A425" s="40"/>
      <x:c r="I425" s="42"/>
      <x:c r="J425" s="42" t="str">
        <x:f>IF(OR(H425="",I425=""),"",H425*I425)</x:f>
      </x:c>
      <x:c r="K425" s="40"/>
      <x:c r="L425" t="str">
        <x:f>IF(K425="","",A425-K425)</x:f>
      </x:c>
      <x:c r="M425" t="str">
        <x:f>IF(L425="","",IF(N425="Yes","Strategic Legacy",IF(L425&lt;=90,"Active",IF(L425&lt;=180,"Monitor",IF(L425&lt;=365,"Slow-Moving",IF(L425&lt;=730,"Excess","Obsolete"))))))</x:f>
      </x:c>
    </x:row>
    <x:row r="426">
      <x:c r="A426" s="40"/>
      <x:c r="I426" s="42"/>
      <x:c r="J426" s="42" t="str">
        <x:f>IF(OR(H426="",I426=""),"",H426*I426)</x:f>
      </x:c>
      <x:c r="K426" s="40"/>
      <x:c r="L426" t="str">
        <x:f>IF(K426="","",A426-K426)</x:f>
      </x:c>
      <x:c r="M426" t="str">
        <x:f>IF(L426="","",IF(N426="Yes","Strategic Legacy",IF(L426&lt;=90,"Active",IF(L426&lt;=180,"Monitor",IF(L426&lt;=365,"Slow-Moving",IF(L426&lt;=730,"Excess","Obsolete"))))))</x:f>
      </x:c>
    </x:row>
    <x:row r="427">
      <x:c r="A427" s="40"/>
      <x:c r="I427" s="42"/>
      <x:c r="J427" s="42" t="str">
        <x:f>IF(OR(H427="",I427=""),"",H427*I427)</x:f>
      </x:c>
      <x:c r="K427" s="40"/>
      <x:c r="L427" t="str">
        <x:f>IF(K427="","",A427-K427)</x:f>
      </x:c>
      <x:c r="M427" t="str">
        <x:f>IF(L427="","",IF(N427="Yes","Strategic Legacy",IF(L427&lt;=90,"Active",IF(L427&lt;=180,"Monitor",IF(L427&lt;=365,"Slow-Moving",IF(L427&lt;=730,"Excess","Obsolete"))))))</x:f>
      </x:c>
    </x:row>
    <x:row r="428">
      <x:c r="A428" s="40"/>
      <x:c r="I428" s="42"/>
      <x:c r="J428" s="42" t="str">
        <x:f>IF(OR(H428="",I428=""),"",H428*I428)</x:f>
      </x:c>
      <x:c r="K428" s="40"/>
      <x:c r="L428" t="str">
        <x:f>IF(K428="","",A428-K428)</x:f>
      </x:c>
      <x:c r="M428" t="str">
        <x:f>IF(L428="","",IF(N428="Yes","Strategic Legacy",IF(L428&lt;=90,"Active",IF(L428&lt;=180,"Monitor",IF(L428&lt;=365,"Slow-Moving",IF(L428&lt;=730,"Excess","Obsolete"))))))</x:f>
      </x:c>
    </x:row>
    <x:row r="429">
      <x:c r="A429" s="40"/>
      <x:c r="I429" s="42"/>
      <x:c r="J429" s="42" t="str">
        <x:f>IF(OR(H429="",I429=""),"",H429*I429)</x:f>
      </x:c>
      <x:c r="K429" s="40"/>
      <x:c r="L429" t="str">
        <x:f>IF(K429="","",A429-K429)</x:f>
      </x:c>
      <x:c r="M429" t="str">
        <x:f>IF(L429="","",IF(N429="Yes","Strategic Legacy",IF(L429&lt;=90,"Active",IF(L429&lt;=180,"Monitor",IF(L429&lt;=365,"Slow-Moving",IF(L429&lt;=730,"Excess","Obsolete"))))))</x:f>
      </x:c>
    </x:row>
    <x:row r="430">
      <x:c r="A430" s="40"/>
      <x:c r="I430" s="42"/>
      <x:c r="J430" s="42" t="str">
        <x:f>IF(OR(H430="",I430=""),"",H430*I430)</x:f>
      </x:c>
      <x:c r="K430" s="40"/>
      <x:c r="L430" t="str">
        <x:f>IF(K430="","",A430-K430)</x:f>
      </x:c>
      <x:c r="M430" t="str">
        <x:f>IF(L430="","",IF(N430="Yes","Strategic Legacy",IF(L430&lt;=90,"Active",IF(L430&lt;=180,"Monitor",IF(L430&lt;=365,"Slow-Moving",IF(L430&lt;=730,"Excess","Obsolete"))))))</x:f>
      </x:c>
    </x:row>
    <x:row r="431">
      <x:c r="A431" s="40"/>
      <x:c r="I431" s="42"/>
      <x:c r="J431" s="42" t="str">
        <x:f>IF(OR(H431="",I431=""),"",H431*I431)</x:f>
      </x:c>
      <x:c r="K431" s="40"/>
      <x:c r="L431" t="str">
        <x:f>IF(K431="","",A431-K431)</x:f>
      </x:c>
      <x:c r="M431" t="str">
        <x:f>IF(L431="","",IF(N431="Yes","Strategic Legacy",IF(L431&lt;=90,"Active",IF(L431&lt;=180,"Monitor",IF(L431&lt;=365,"Slow-Moving",IF(L431&lt;=730,"Excess","Obsolete"))))))</x:f>
      </x:c>
    </x:row>
    <x:row r="432">
      <x:c r="A432" s="40"/>
      <x:c r="I432" s="42"/>
      <x:c r="J432" s="42" t="str">
        <x:f>IF(OR(H432="",I432=""),"",H432*I432)</x:f>
      </x:c>
      <x:c r="K432" s="40"/>
      <x:c r="L432" t="str">
        <x:f>IF(K432="","",A432-K432)</x:f>
      </x:c>
      <x:c r="M432" t="str">
        <x:f>IF(L432="","",IF(N432="Yes","Strategic Legacy",IF(L432&lt;=90,"Active",IF(L432&lt;=180,"Monitor",IF(L432&lt;=365,"Slow-Moving",IF(L432&lt;=730,"Excess","Obsolete"))))))</x:f>
      </x:c>
    </x:row>
    <x:row r="433">
      <x:c r="A433" s="40"/>
      <x:c r="I433" s="42"/>
      <x:c r="J433" s="42" t="str">
        <x:f>IF(OR(H433="",I433=""),"",H433*I433)</x:f>
      </x:c>
      <x:c r="K433" s="40"/>
      <x:c r="L433" t="str">
        <x:f>IF(K433="","",A433-K433)</x:f>
      </x:c>
      <x:c r="M433" t="str">
        <x:f>IF(L433="","",IF(N433="Yes","Strategic Legacy",IF(L433&lt;=90,"Active",IF(L433&lt;=180,"Monitor",IF(L433&lt;=365,"Slow-Moving",IF(L433&lt;=730,"Excess","Obsolete"))))))</x:f>
      </x:c>
    </x:row>
    <x:row r="434">
      <x:c r="A434" s="40"/>
      <x:c r="I434" s="42"/>
      <x:c r="J434" s="42" t="str">
        <x:f>IF(OR(H434="",I434=""),"",H434*I434)</x:f>
      </x:c>
      <x:c r="K434" s="40"/>
      <x:c r="L434" t="str">
        <x:f>IF(K434="","",A434-K434)</x:f>
      </x:c>
      <x:c r="M434" t="str">
        <x:f>IF(L434="","",IF(N434="Yes","Strategic Legacy",IF(L434&lt;=90,"Active",IF(L434&lt;=180,"Monitor",IF(L434&lt;=365,"Slow-Moving",IF(L434&lt;=730,"Excess","Obsolete"))))))</x:f>
      </x:c>
    </x:row>
    <x:row r="435">
      <x:c r="A435" s="40"/>
      <x:c r="I435" s="42"/>
      <x:c r="J435" s="42" t="str">
        <x:f>IF(OR(H435="",I435=""),"",H435*I435)</x:f>
      </x:c>
      <x:c r="K435" s="40"/>
      <x:c r="L435" t="str">
        <x:f>IF(K435="","",A435-K435)</x:f>
      </x:c>
      <x:c r="M435" t="str">
        <x:f>IF(L435="","",IF(N435="Yes","Strategic Legacy",IF(L435&lt;=90,"Active",IF(L435&lt;=180,"Monitor",IF(L435&lt;=365,"Slow-Moving",IF(L435&lt;=730,"Excess","Obsolete"))))))</x:f>
      </x:c>
    </x:row>
    <x:row r="436">
      <x:c r="A436" s="40"/>
      <x:c r="I436" s="42"/>
      <x:c r="J436" s="42" t="str">
        <x:f>IF(OR(H436="",I436=""),"",H436*I436)</x:f>
      </x:c>
      <x:c r="K436" s="40"/>
      <x:c r="L436" t="str">
        <x:f>IF(K436="","",A436-K436)</x:f>
      </x:c>
      <x:c r="M436" t="str">
        <x:f>IF(L436="","",IF(N436="Yes","Strategic Legacy",IF(L436&lt;=90,"Active",IF(L436&lt;=180,"Monitor",IF(L436&lt;=365,"Slow-Moving",IF(L436&lt;=730,"Excess","Obsolete"))))))</x:f>
      </x:c>
    </x:row>
    <x:row r="437">
      <x:c r="A437" s="40"/>
      <x:c r="I437" s="42"/>
      <x:c r="J437" s="42" t="str">
        <x:f>IF(OR(H437="",I437=""),"",H437*I437)</x:f>
      </x:c>
      <x:c r="K437" s="40"/>
      <x:c r="L437" t="str">
        <x:f>IF(K437="","",A437-K437)</x:f>
      </x:c>
      <x:c r="M437" t="str">
        <x:f>IF(L437="","",IF(N437="Yes","Strategic Legacy",IF(L437&lt;=90,"Active",IF(L437&lt;=180,"Monitor",IF(L437&lt;=365,"Slow-Moving",IF(L437&lt;=730,"Excess","Obsolete"))))))</x:f>
      </x:c>
    </x:row>
    <x:row r="438">
      <x:c r="A438" s="40"/>
      <x:c r="I438" s="42"/>
      <x:c r="J438" s="42" t="str">
        <x:f>IF(OR(H438="",I438=""),"",H438*I438)</x:f>
      </x:c>
      <x:c r="K438" s="40"/>
      <x:c r="L438" t="str">
        <x:f>IF(K438="","",A438-K438)</x:f>
      </x:c>
      <x:c r="M438" t="str">
        <x:f>IF(L438="","",IF(N438="Yes","Strategic Legacy",IF(L438&lt;=90,"Active",IF(L438&lt;=180,"Monitor",IF(L438&lt;=365,"Slow-Moving",IF(L438&lt;=730,"Excess","Obsolete"))))))</x:f>
      </x:c>
    </x:row>
    <x:row r="439">
      <x:c r="A439" s="40"/>
      <x:c r="I439" s="42"/>
      <x:c r="J439" s="42" t="str">
        <x:f>IF(OR(H439="",I439=""),"",H439*I439)</x:f>
      </x:c>
      <x:c r="K439" s="40"/>
      <x:c r="L439" t="str">
        <x:f>IF(K439="","",A439-K439)</x:f>
      </x:c>
      <x:c r="M439" t="str">
        <x:f>IF(L439="","",IF(N439="Yes","Strategic Legacy",IF(L439&lt;=90,"Active",IF(L439&lt;=180,"Monitor",IF(L439&lt;=365,"Slow-Moving",IF(L439&lt;=730,"Excess","Obsolete"))))))</x:f>
      </x:c>
    </x:row>
    <x:row r="440">
      <x:c r="A440" s="40"/>
      <x:c r="I440" s="42"/>
      <x:c r="J440" s="42" t="str">
        <x:f>IF(OR(H440="",I440=""),"",H440*I440)</x:f>
      </x:c>
      <x:c r="K440" s="40"/>
      <x:c r="L440" t="str">
        <x:f>IF(K440="","",A440-K440)</x:f>
      </x:c>
      <x:c r="M440" t="str">
        <x:f>IF(L440="","",IF(N440="Yes","Strategic Legacy",IF(L440&lt;=90,"Active",IF(L440&lt;=180,"Monitor",IF(L440&lt;=365,"Slow-Moving",IF(L440&lt;=730,"Excess","Obsolete"))))))</x:f>
      </x:c>
    </x:row>
    <x:row r="441">
      <x:c r="A441" s="40"/>
      <x:c r="I441" s="42"/>
      <x:c r="J441" s="42" t="str">
        <x:f>IF(OR(H441="",I441=""),"",H441*I441)</x:f>
      </x:c>
      <x:c r="K441" s="40"/>
      <x:c r="L441" t="str">
        <x:f>IF(K441="","",A441-K441)</x:f>
      </x:c>
      <x:c r="M441" t="str">
        <x:f>IF(L441="","",IF(N441="Yes","Strategic Legacy",IF(L441&lt;=90,"Active",IF(L441&lt;=180,"Monitor",IF(L441&lt;=365,"Slow-Moving",IF(L441&lt;=730,"Excess","Obsolete"))))))</x:f>
      </x:c>
    </x:row>
    <x:row r="442">
      <x:c r="A442" s="40"/>
      <x:c r="I442" s="42"/>
      <x:c r="J442" s="42" t="str">
        <x:f>IF(OR(H442="",I442=""),"",H442*I442)</x:f>
      </x:c>
      <x:c r="K442" s="40"/>
      <x:c r="L442" t="str">
        <x:f>IF(K442="","",A442-K442)</x:f>
      </x:c>
      <x:c r="M442" t="str">
        <x:f>IF(L442="","",IF(N442="Yes","Strategic Legacy",IF(L442&lt;=90,"Active",IF(L442&lt;=180,"Monitor",IF(L442&lt;=365,"Slow-Moving",IF(L442&lt;=730,"Excess","Obsolete"))))))</x:f>
      </x:c>
    </x:row>
    <x:row r="443">
      <x:c r="A443" s="40"/>
      <x:c r="I443" s="42"/>
      <x:c r="J443" s="42" t="str">
        <x:f>IF(OR(H443="",I443=""),"",H443*I443)</x:f>
      </x:c>
      <x:c r="K443" s="40"/>
      <x:c r="L443" t="str">
        <x:f>IF(K443="","",A443-K443)</x:f>
      </x:c>
      <x:c r="M443" t="str">
        <x:f>IF(L443="","",IF(N443="Yes","Strategic Legacy",IF(L443&lt;=90,"Active",IF(L443&lt;=180,"Monitor",IF(L443&lt;=365,"Slow-Moving",IF(L443&lt;=730,"Excess","Obsolete"))))))</x:f>
      </x:c>
    </x:row>
    <x:row r="444">
      <x:c r="A444" s="40"/>
      <x:c r="I444" s="42"/>
      <x:c r="J444" s="42" t="str">
        <x:f>IF(OR(H444="",I444=""),"",H444*I444)</x:f>
      </x:c>
      <x:c r="K444" s="40"/>
      <x:c r="L444" t="str">
        <x:f>IF(K444="","",A444-K444)</x:f>
      </x:c>
      <x:c r="M444" t="str">
        <x:f>IF(L444="","",IF(N444="Yes","Strategic Legacy",IF(L444&lt;=90,"Active",IF(L444&lt;=180,"Monitor",IF(L444&lt;=365,"Slow-Moving",IF(L444&lt;=730,"Excess","Obsolete"))))))</x:f>
      </x:c>
    </x:row>
    <x:row r="445">
      <x:c r="A445" s="40"/>
      <x:c r="I445" s="42"/>
      <x:c r="J445" s="42" t="str">
        <x:f>IF(OR(H445="",I445=""),"",H445*I445)</x:f>
      </x:c>
      <x:c r="K445" s="40"/>
      <x:c r="L445" t="str">
        <x:f>IF(K445="","",A445-K445)</x:f>
      </x:c>
      <x:c r="M445" t="str">
        <x:f>IF(L445="","",IF(N445="Yes","Strategic Legacy",IF(L445&lt;=90,"Active",IF(L445&lt;=180,"Monitor",IF(L445&lt;=365,"Slow-Moving",IF(L445&lt;=730,"Excess","Obsolete"))))))</x:f>
      </x:c>
    </x:row>
    <x:row r="446">
      <x:c r="A446" s="40"/>
      <x:c r="I446" s="42"/>
      <x:c r="J446" s="42" t="str">
        <x:f>IF(OR(H446="",I446=""),"",H446*I446)</x:f>
      </x:c>
      <x:c r="K446" s="40"/>
      <x:c r="L446" t="str">
        <x:f>IF(K446="","",A446-K446)</x:f>
      </x:c>
      <x:c r="M446" t="str">
        <x:f>IF(L446="","",IF(N446="Yes","Strategic Legacy",IF(L446&lt;=90,"Active",IF(L446&lt;=180,"Monitor",IF(L446&lt;=365,"Slow-Moving",IF(L446&lt;=730,"Excess","Obsolete"))))))</x:f>
      </x:c>
    </x:row>
    <x:row r="447">
      <x:c r="A447" s="40"/>
      <x:c r="I447" s="42"/>
      <x:c r="J447" s="42" t="str">
        <x:f>IF(OR(H447="",I447=""),"",H447*I447)</x:f>
      </x:c>
      <x:c r="K447" s="40"/>
      <x:c r="L447" t="str">
        <x:f>IF(K447="","",A447-K447)</x:f>
      </x:c>
      <x:c r="M447" t="str">
        <x:f>IF(L447="","",IF(N447="Yes","Strategic Legacy",IF(L447&lt;=90,"Active",IF(L447&lt;=180,"Monitor",IF(L447&lt;=365,"Slow-Moving",IF(L447&lt;=730,"Excess","Obsolete"))))))</x:f>
      </x:c>
    </x:row>
    <x:row r="448">
      <x:c r="A448" s="40"/>
      <x:c r="I448" s="42"/>
      <x:c r="J448" s="42" t="str">
        <x:f>IF(OR(H448="",I448=""),"",H448*I448)</x:f>
      </x:c>
      <x:c r="K448" s="40"/>
      <x:c r="L448" t="str">
        <x:f>IF(K448="","",A448-K448)</x:f>
      </x:c>
      <x:c r="M448" t="str">
        <x:f>IF(L448="","",IF(N448="Yes","Strategic Legacy",IF(L448&lt;=90,"Active",IF(L448&lt;=180,"Monitor",IF(L448&lt;=365,"Slow-Moving",IF(L448&lt;=730,"Excess","Obsolete"))))))</x:f>
      </x:c>
    </x:row>
    <x:row r="449">
      <x:c r="A449" s="40"/>
      <x:c r="I449" s="42"/>
      <x:c r="J449" s="42" t="str">
        <x:f>IF(OR(H449="",I449=""),"",H449*I449)</x:f>
      </x:c>
      <x:c r="K449" s="40"/>
      <x:c r="L449" t="str">
        <x:f>IF(K449="","",A449-K449)</x:f>
      </x:c>
      <x:c r="M449" t="str">
        <x:f>IF(L449="","",IF(N449="Yes","Strategic Legacy",IF(L449&lt;=90,"Active",IF(L449&lt;=180,"Monitor",IF(L449&lt;=365,"Slow-Moving",IF(L449&lt;=730,"Excess","Obsolete"))))))</x:f>
      </x:c>
    </x:row>
    <x:row r="450">
      <x:c r="A450" s="40"/>
      <x:c r="I450" s="42"/>
      <x:c r="J450" s="42" t="str">
        <x:f>IF(OR(H450="",I450=""),"",H450*I450)</x:f>
      </x:c>
      <x:c r="K450" s="40"/>
      <x:c r="L450" t="str">
        <x:f>IF(K450="","",A450-K450)</x:f>
      </x:c>
      <x:c r="M450" t="str">
        <x:f>IF(L450="","",IF(N450="Yes","Strategic Legacy",IF(L450&lt;=90,"Active",IF(L450&lt;=180,"Monitor",IF(L450&lt;=365,"Slow-Moving",IF(L450&lt;=730,"Excess","Obsolete"))))))</x:f>
      </x:c>
    </x:row>
    <x:row r="451">
      <x:c r="A451" s="40"/>
      <x:c r="I451" s="42"/>
      <x:c r="J451" s="42" t="str">
        <x:f>IF(OR(H451="",I451=""),"",H451*I451)</x:f>
      </x:c>
      <x:c r="K451" s="40"/>
      <x:c r="L451" t="str">
        <x:f>IF(K451="","",A451-K451)</x:f>
      </x:c>
      <x:c r="M451" t="str">
        <x:f>IF(L451="","",IF(N451="Yes","Strategic Legacy",IF(L451&lt;=90,"Active",IF(L451&lt;=180,"Monitor",IF(L451&lt;=365,"Slow-Moving",IF(L451&lt;=730,"Excess","Obsolete"))))))</x:f>
      </x:c>
    </x:row>
    <x:row r="452">
      <x:c r="A452" s="40"/>
      <x:c r="I452" s="42"/>
      <x:c r="J452" s="42" t="str">
        <x:f>IF(OR(H452="",I452=""),"",H452*I452)</x:f>
      </x:c>
      <x:c r="K452" s="40"/>
      <x:c r="L452" t="str">
        <x:f>IF(K452="","",A452-K452)</x:f>
      </x:c>
      <x:c r="M452" t="str">
        <x:f>IF(L452="","",IF(N452="Yes","Strategic Legacy",IF(L452&lt;=90,"Active",IF(L452&lt;=180,"Monitor",IF(L452&lt;=365,"Slow-Moving",IF(L452&lt;=730,"Excess","Obsolete"))))))</x:f>
      </x:c>
    </x:row>
    <x:row r="453">
      <x:c r="A453" s="40"/>
      <x:c r="I453" s="42"/>
      <x:c r="J453" s="42" t="str">
        <x:f>IF(OR(H453="",I453=""),"",H453*I453)</x:f>
      </x:c>
      <x:c r="K453" s="40"/>
      <x:c r="L453" t="str">
        <x:f>IF(K453="","",A453-K453)</x:f>
      </x:c>
      <x:c r="M453" t="str">
        <x:f>IF(L453="","",IF(N453="Yes","Strategic Legacy",IF(L453&lt;=90,"Active",IF(L453&lt;=180,"Monitor",IF(L453&lt;=365,"Slow-Moving",IF(L453&lt;=730,"Excess","Obsolete"))))))</x:f>
      </x:c>
    </x:row>
    <x:row r="454">
      <x:c r="A454" s="40"/>
      <x:c r="I454" s="42"/>
      <x:c r="J454" s="42" t="str">
        <x:f>IF(OR(H454="",I454=""),"",H454*I454)</x:f>
      </x:c>
      <x:c r="K454" s="40"/>
      <x:c r="L454" t="str">
        <x:f>IF(K454="","",A454-K454)</x:f>
      </x:c>
      <x:c r="M454" t="str">
        <x:f>IF(L454="","",IF(N454="Yes","Strategic Legacy",IF(L454&lt;=90,"Active",IF(L454&lt;=180,"Monitor",IF(L454&lt;=365,"Slow-Moving",IF(L454&lt;=730,"Excess","Obsolete"))))))</x:f>
      </x:c>
    </x:row>
    <x:row r="455">
      <x:c r="A455" s="40"/>
      <x:c r="I455" s="42"/>
      <x:c r="J455" s="42" t="str">
        <x:f>IF(OR(H455="",I455=""),"",H455*I455)</x:f>
      </x:c>
      <x:c r="K455" s="40"/>
      <x:c r="L455" t="str">
        <x:f>IF(K455="","",A455-K455)</x:f>
      </x:c>
      <x:c r="M455" t="str">
        <x:f>IF(L455="","",IF(N455="Yes","Strategic Legacy",IF(L455&lt;=90,"Active",IF(L455&lt;=180,"Monitor",IF(L455&lt;=365,"Slow-Moving",IF(L455&lt;=730,"Excess","Obsolete"))))))</x:f>
      </x:c>
    </x:row>
    <x:row r="456">
      <x:c r="A456" s="40"/>
      <x:c r="I456" s="42"/>
      <x:c r="J456" s="42" t="str">
        <x:f>IF(OR(H456="",I456=""),"",H456*I456)</x:f>
      </x:c>
      <x:c r="K456" s="40"/>
      <x:c r="L456" t="str">
        <x:f>IF(K456="","",A456-K456)</x:f>
      </x:c>
      <x:c r="M456" t="str">
        <x:f>IF(L456="","",IF(N456="Yes","Strategic Legacy",IF(L456&lt;=90,"Active",IF(L456&lt;=180,"Monitor",IF(L456&lt;=365,"Slow-Moving",IF(L456&lt;=730,"Excess","Obsolete"))))))</x:f>
      </x:c>
    </x:row>
    <x:row r="457">
      <x:c r="A457" s="40"/>
      <x:c r="I457" s="42"/>
      <x:c r="J457" s="42" t="str">
        <x:f>IF(OR(H457="",I457=""),"",H457*I457)</x:f>
      </x:c>
      <x:c r="K457" s="40"/>
      <x:c r="L457" t="str">
        <x:f>IF(K457="","",A457-K457)</x:f>
      </x:c>
      <x:c r="M457" t="str">
        <x:f>IF(L457="","",IF(N457="Yes","Strategic Legacy",IF(L457&lt;=90,"Active",IF(L457&lt;=180,"Monitor",IF(L457&lt;=365,"Slow-Moving",IF(L457&lt;=730,"Excess","Obsolete"))))))</x:f>
      </x:c>
    </x:row>
    <x:row r="458">
      <x:c r="A458" s="40"/>
      <x:c r="I458" s="42"/>
      <x:c r="J458" s="42" t="str">
        <x:f>IF(OR(H458="",I458=""),"",H458*I458)</x:f>
      </x:c>
      <x:c r="K458" s="40"/>
      <x:c r="L458" t="str">
        <x:f>IF(K458="","",A458-K458)</x:f>
      </x:c>
      <x:c r="M458" t="str">
        <x:f>IF(L458="","",IF(N458="Yes","Strategic Legacy",IF(L458&lt;=90,"Active",IF(L458&lt;=180,"Monitor",IF(L458&lt;=365,"Slow-Moving",IF(L458&lt;=730,"Excess","Obsolete"))))))</x:f>
      </x:c>
    </x:row>
    <x:row r="459">
      <x:c r="A459" s="40"/>
      <x:c r="I459" s="42"/>
      <x:c r="J459" s="42" t="str">
        <x:f>IF(OR(H459="",I459=""),"",H459*I459)</x:f>
      </x:c>
      <x:c r="K459" s="40"/>
      <x:c r="L459" t="str">
        <x:f>IF(K459="","",A459-K459)</x:f>
      </x:c>
      <x:c r="M459" t="str">
        <x:f>IF(L459="","",IF(N459="Yes","Strategic Legacy",IF(L459&lt;=90,"Active",IF(L459&lt;=180,"Monitor",IF(L459&lt;=365,"Slow-Moving",IF(L459&lt;=730,"Excess","Obsolete"))))))</x:f>
      </x:c>
    </x:row>
    <x:row r="460">
      <x:c r="A460" s="40"/>
      <x:c r="I460" s="42"/>
      <x:c r="J460" s="42" t="str">
        <x:f>IF(OR(H460="",I460=""),"",H460*I460)</x:f>
      </x:c>
      <x:c r="K460" s="40"/>
      <x:c r="L460" t="str">
        <x:f>IF(K460="","",A460-K460)</x:f>
      </x:c>
      <x:c r="M460" t="str">
        <x:f>IF(L460="","",IF(N460="Yes","Strategic Legacy",IF(L460&lt;=90,"Active",IF(L460&lt;=180,"Monitor",IF(L460&lt;=365,"Slow-Moving",IF(L460&lt;=730,"Excess","Obsolete"))))))</x:f>
      </x:c>
    </x:row>
    <x:row r="461">
      <x:c r="A461" s="40"/>
      <x:c r="I461" s="42"/>
      <x:c r="J461" s="42" t="str">
        <x:f>IF(OR(H461="",I461=""),"",H461*I461)</x:f>
      </x:c>
      <x:c r="K461" s="40"/>
      <x:c r="L461" t="str">
        <x:f>IF(K461="","",A461-K461)</x:f>
      </x:c>
      <x:c r="M461" t="str">
        <x:f>IF(L461="","",IF(N461="Yes","Strategic Legacy",IF(L461&lt;=90,"Active",IF(L461&lt;=180,"Monitor",IF(L461&lt;=365,"Slow-Moving",IF(L461&lt;=730,"Excess","Obsolete"))))))</x:f>
      </x:c>
    </x:row>
    <x:row r="462">
      <x:c r="A462" s="40"/>
      <x:c r="I462" s="42"/>
      <x:c r="J462" s="42" t="str">
        <x:f>IF(OR(H462="",I462=""),"",H462*I462)</x:f>
      </x:c>
      <x:c r="K462" s="40"/>
      <x:c r="L462" t="str">
        <x:f>IF(K462="","",A462-K462)</x:f>
      </x:c>
      <x:c r="M462" t="str">
        <x:f>IF(L462="","",IF(N462="Yes","Strategic Legacy",IF(L462&lt;=90,"Active",IF(L462&lt;=180,"Monitor",IF(L462&lt;=365,"Slow-Moving",IF(L462&lt;=730,"Excess","Obsolete"))))))</x:f>
      </x:c>
    </x:row>
    <x:row r="463">
      <x:c r="A463" s="40"/>
      <x:c r="I463" s="42"/>
      <x:c r="J463" s="42" t="str">
        <x:f>IF(OR(H463="",I463=""),"",H463*I463)</x:f>
      </x:c>
      <x:c r="K463" s="40"/>
      <x:c r="L463" t="str">
        <x:f>IF(K463="","",A463-K463)</x:f>
      </x:c>
      <x:c r="M463" t="str">
        <x:f>IF(L463="","",IF(N463="Yes","Strategic Legacy",IF(L463&lt;=90,"Active",IF(L463&lt;=180,"Monitor",IF(L463&lt;=365,"Slow-Moving",IF(L463&lt;=730,"Excess","Obsolete"))))))</x:f>
      </x:c>
    </x:row>
    <x:row r="464">
      <x:c r="A464" s="40"/>
      <x:c r="I464" s="42"/>
      <x:c r="J464" s="42" t="str">
        <x:f>IF(OR(H464="",I464=""),"",H464*I464)</x:f>
      </x:c>
      <x:c r="K464" s="40"/>
      <x:c r="L464" t="str">
        <x:f>IF(K464="","",A464-K464)</x:f>
      </x:c>
      <x:c r="M464" t="str">
        <x:f>IF(L464="","",IF(N464="Yes","Strategic Legacy",IF(L464&lt;=90,"Active",IF(L464&lt;=180,"Monitor",IF(L464&lt;=365,"Slow-Moving",IF(L464&lt;=730,"Excess","Obsolete"))))))</x:f>
      </x:c>
    </x:row>
    <x:row r="465">
      <x:c r="A465" s="40"/>
      <x:c r="I465" s="42"/>
      <x:c r="J465" s="42" t="str">
        <x:f>IF(OR(H465="",I465=""),"",H465*I465)</x:f>
      </x:c>
      <x:c r="K465" s="40"/>
      <x:c r="L465" t="str">
        <x:f>IF(K465="","",A465-K465)</x:f>
      </x:c>
      <x:c r="M465" t="str">
        <x:f>IF(L465="","",IF(N465="Yes","Strategic Legacy",IF(L465&lt;=90,"Active",IF(L465&lt;=180,"Monitor",IF(L465&lt;=365,"Slow-Moving",IF(L465&lt;=730,"Excess","Obsolete"))))))</x:f>
      </x:c>
    </x:row>
    <x:row r="466">
      <x:c r="A466" s="40"/>
      <x:c r="I466" s="42"/>
      <x:c r="J466" s="42" t="str">
        <x:f>IF(OR(H466="",I466=""),"",H466*I466)</x:f>
      </x:c>
      <x:c r="K466" s="40"/>
      <x:c r="L466" t="str">
        <x:f>IF(K466="","",A466-K466)</x:f>
      </x:c>
      <x:c r="M466" t="str">
        <x:f>IF(L466="","",IF(N466="Yes","Strategic Legacy",IF(L466&lt;=90,"Active",IF(L466&lt;=180,"Monitor",IF(L466&lt;=365,"Slow-Moving",IF(L466&lt;=730,"Excess","Obsolete"))))))</x:f>
      </x:c>
    </x:row>
    <x:row r="467">
      <x:c r="A467" s="40"/>
      <x:c r="I467" s="42"/>
      <x:c r="J467" s="42" t="str">
        <x:f>IF(OR(H467="",I467=""),"",H467*I467)</x:f>
      </x:c>
      <x:c r="K467" s="40"/>
      <x:c r="L467" t="str">
        <x:f>IF(K467="","",A467-K467)</x:f>
      </x:c>
      <x:c r="M467" t="str">
        <x:f>IF(L467="","",IF(N467="Yes","Strategic Legacy",IF(L467&lt;=90,"Active",IF(L467&lt;=180,"Monitor",IF(L467&lt;=365,"Slow-Moving",IF(L467&lt;=730,"Excess","Obsolete"))))))</x:f>
      </x:c>
    </x:row>
    <x:row r="468">
      <x:c r="A468" s="40"/>
      <x:c r="I468" s="42"/>
      <x:c r="J468" s="42" t="str">
        <x:f>IF(OR(H468="",I468=""),"",H468*I468)</x:f>
      </x:c>
      <x:c r="K468" s="40"/>
      <x:c r="L468" t="str">
        <x:f>IF(K468="","",A468-K468)</x:f>
      </x:c>
      <x:c r="M468" t="str">
        <x:f>IF(L468="","",IF(N468="Yes","Strategic Legacy",IF(L468&lt;=90,"Active",IF(L468&lt;=180,"Monitor",IF(L468&lt;=365,"Slow-Moving",IF(L468&lt;=730,"Excess","Obsolete"))))))</x:f>
      </x:c>
    </x:row>
    <x:row r="469">
      <x:c r="A469" s="40"/>
      <x:c r="I469" s="42"/>
      <x:c r="J469" s="42" t="str">
        <x:f>IF(OR(H469="",I469=""),"",H469*I469)</x:f>
      </x:c>
      <x:c r="K469" s="40"/>
      <x:c r="L469" t="str">
        <x:f>IF(K469="","",A469-K469)</x:f>
      </x:c>
      <x:c r="M469" t="str">
        <x:f>IF(L469="","",IF(N469="Yes","Strategic Legacy",IF(L469&lt;=90,"Active",IF(L469&lt;=180,"Monitor",IF(L469&lt;=365,"Slow-Moving",IF(L469&lt;=730,"Excess","Obsolete"))))))</x:f>
      </x:c>
    </x:row>
    <x:row r="470">
      <x:c r="A470" s="40"/>
      <x:c r="I470" s="42"/>
      <x:c r="J470" s="42" t="str">
        <x:f>IF(OR(H470="",I470=""),"",H470*I470)</x:f>
      </x:c>
      <x:c r="K470" s="40"/>
      <x:c r="L470" t="str">
        <x:f>IF(K470="","",A470-K470)</x:f>
      </x:c>
      <x:c r="M470" t="str">
        <x:f>IF(L470="","",IF(N470="Yes","Strategic Legacy",IF(L470&lt;=90,"Active",IF(L470&lt;=180,"Monitor",IF(L470&lt;=365,"Slow-Moving",IF(L470&lt;=730,"Excess","Obsolete"))))))</x:f>
      </x:c>
    </x:row>
    <x:row r="471">
      <x:c r="A471" s="40"/>
      <x:c r="I471" s="42"/>
      <x:c r="J471" s="42" t="str">
        <x:f>IF(OR(H471="",I471=""),"",H471*I471)</x:f>
      </x:c>
      <x:c r="K471" s="40"/>
      <x:c r="L471" t="str">
        <x:f>IF(K471="","",A471-K471)</x:f>
      </x:c>
      <x:c r="M471" t="str">
        <x:f>IF(L471="","",IF(N471="Yes","Strategic Legacy",IF(L471&lt;=90,"Active",IF(L471&lt;=180,"Monitor",IF(L471&lt;=365,"Slow-Moving",IF(L471&lt;=730,"Excess","Obsolete"))))))</x:f>
      </x:c>
    </x:row>
    <x:row r="472">
      <x:c r="A472" s="40"/>
      <x:c r="I472" s="42"/>
      <x:c r="J472" s="42" t="str">
        <x:f>IF(OR(H472="",I472=""),"",H472*I472)</x:f>
      </x:c>
      <x:c r="K472" s="40"/>
      <x:c r="L472" t="str">
        <x:f>IF(K472="","",A472-K472)</x:f>
      </x:c>
      <x:c r="M472" t="str">
        <x:f>IF(L472="","",IF(N472="Yes","Strategic Legacy",IF(L472&lt;=90,"Active",IF(L472&lt;=180,"Monitor",IF(L472&lt;=365,"Slow-Moving",IF(L472&lt;=730,"Excess","Obsolete"))))))</x:f>
      </x:c>
    </x:row>
    <x:row r="473">
      <x:c r="A473" s="40"/>
      <x:c r="I473" s="42"/>
      <x:c r="J473" s="42" t="str">
        <x:f>IF(OR(H473="",I473=""),"",H473*I473)</x:f>
      </x:c>
      <x:c r="K473" s="40"/>
      <x:c r="L473" t="str">
        <x:f>IF(K473="","",A473-K473)</x:f>
      </x:c>
      <x:c r="M473" t="str">
        <x:f>IF(L473="","",IF(N473="Yes","Strategic Legacy",IF(L473&lt;=90,"Active",IF(L473&lt;=180,"Monitor",IF(L473&lt;=365,"Slow-Moving",IF(L473&lt;=730,"Excess","Obsolete"))))))</x:f>
      </x:c>
    </x:row>
    <x:row r="474">
      <x:c r="A474" s="40"/>
      <x:c r="I474" s="42"/>
      <x:c r="J474" s="42" t="str">
        <x:f>IF(OR(H474="",I474=""),"",H474*I474)</x:f>
      </x:c>
      <x:c r="K474" s="40"/>
      <x:c r="L474" t="str">
        <x:f>IF(K474="","",A474-K474)</x:f>
      </x:c>
      <x:c r="M474" t="str">
        <x:f>IF(L474="","",IF(N474="Yes","Strategic Legacy",IF(L474&lt;=90,"Active",IF(L474&lt;=180,"Monitor",IF(L474&lt;=365,"Slow-Moving",IF(L474&lt;=730,"Excess","Obsolete"))))))</x:f>
      </x:c>
    </x:row>
    <x:row r="475">
      <x:c r="A475" s="40"/>
      <x:c r="I475" s="42"/>
      <x:c r="J475" s="42" t="str">
        <x:f>IF(OR(H475="",I475=""),"",H475*I475)</x:f>
      </x:c>
      <x:c r="K475" s="40"/>
      <x:c r="L475" t="str">
        <x:f>IF(K475="","",A475-K475)</x:f>
      </x:c>
      <x:c r="M475" t="str">
        <x:f>IF(L475="","",IF(N475="Yes","Strategic Legacy",IF(L475&lt;=90,"Active",IF(L475&lt;=180,"Monitor",IF(L475&lt;=365,"Slow-Moving",IF(L475&lt;=730,"Excess","Obsolete"))))))</x:f>
      </x:c>
    </x:row>
    <x:row r="476">
      <x:c r="A476" s="40"/>
      <x:c r="I476" s="42"/>
      <x:c r="J476" s="42" t="str">
        <x:f>IF(OR(H476="",I476=""),"",H476*I476)</x:f>
      </x:c>
      <x:c r="K476" s="40"/>
      <x:c r="L476" t="str">
        <x:f>IF(K476="","",A476-K476)</x:f>
      </x:c>
      <x:c r="M476" t="str">
        <x:f>IF(L476="","",IF(N476="Yes","Strategic Legacy",IF(L476&lt;=90,"Active",IF(L476&lt;=180,"Monitor",IF(L476&lt;=365,"Slow-Moving",IF(L476&lt;=730,"Excess","Obsolete"))))))</x:f>
      </x:c>
    </x:row>
    <x:row r="477">
      <x:c r="A477" s="40"/>
      <x:c r="I477" s="42"/>
      <x:c r="J477" s="42" t="str">
        <x:f>IF(OR(H477="",I477=""),"",H477*I477)</x:f>
      </x:c>
      <x:c r="K477" s="40"/>
      <x:c r="L477" t="str">
        <x:f>IF(K477="","",A477-K477)</x:f>
      </x:c>
      <x:c r="M477" t="str">
        <x:f>IF(L477="","",IF(N477="Yes","Strategic Legacy",IF(L477&lt;=90,"Active",IF(L477&lt;=180,"Monitor",IF(L477&lt;=365,"Slow-Moving",IF(L477&lt;=730,"Excess","Obsolete"))))))</x:f>
      </x:c>
    </x:row>
    <x:row r="478">
      <x:c r="A478" s="40"/>
      <x:c r="I478" s="42"/>
      <x:c r="J478" s="42" t="str">
        <x:f>IF(OR(H478="",I478=""),"",H478*I478)</x:f>
      </x:c>
      <x:c r="K478" s="40"/>
      <x:c r="L478" t="str">
        <x:f>IF(K478="","",A478-K478)</x:f>
      </x:c>
      <x:c r="M478" t="str">
        <x:f>IF(L478="","",IF(N478="Yes","Strategic Legacy",IF(L478&lt;=90,"Active",IF(L478&lt;=180,"Monitor",IF(L478&lt;=365,"Slow-Moving",IF(L478&lt;=730,"Excess","Obsolete"))))))</x:f>
      </x:c>
    </x:row>
    <x:row r="479">
      <x:c r="A479" s="40"/>
      <x:c r="I479" s="42"/>
      <x:c r="J479" s="42" t="str">
        <x:f>IF(OR(H479="",I479=""),"",H479*I479)</x:f>
      </x:c>
      <x:c r="K479" s="40"/>
      <x:c r="L479" t="str">
        <x:f>IF(K479="","",A479-K479)</x:f>
      </x:c>
      <x:c r="M479" t="str">
        <x:f>IF(L479="","",IF(N479="Yes","Strategic Legacy",IF(L479&lt;=90,"Active",IF(L479&lt;=180,"Monitor",IF(L479&lt;=365,"Slow-Moving",IF(L479&lt;=730,"Excess","Obsolete"))))))</x:f>
      </x:c>
    </x:row>
    <x:row r="480">
      <x:c r="A480" s="40"/>
      <x:c r="I480" s="42"/>
      <x:c r="J480" s="42" t="str">
        <x:f>IF(OR(H480="",I480=""),"",H480*I480)</x:f>
      </x:c>
      <x:c r="K480" s="40"/>
      <x:c r="L480" t="str">
        <x:f>IF(K480="","",A480-K480)</x:f>
      </x:c>
      <x:c r="M480" t="str">
        <x:f>IF(L480="","",IF(N480="Yes","Strategic Legacy",IF(L480&lt;=90,"Active",IF(L480&lt;=180,"Monitor",IF(L480&lt;=365,"Slow-Moving",IF(L480&lt;=730,"Excess","Obsolete"))))))</x:f>
      </x:c>
    </x:row>
    <x:row r="481">
      <x:c r="A481" s="40"/>
      <x:c r="I481" s="42"/>
      <x:c r="J481" s="42" t="str">
        <x:f>IF(OR(H481="",I481=""),"",H481*I481)</x:f>
      </x:c>
      <x:c r="K481" s="40"/>
      <x:c r="L481" t="str">
        <x:f>IF(K481="","",A481-K481)</x:f>
      </x:c>
      <x:c r="M481" t="str">
        <x:f>IF(L481="","",IF(N481="Yes","Strategic Legacy",IF(L481&lt;=90,"Active",IF(L481&lt;=180,"Monitor",IF(L481&lt;=365,"Slow-Moving",IF(L481&lt;=730,"Excess","Obsolete"))))))</x:f>
      </x:c>
    </x:row>
    <x:row r="482">
      <x:c r="A482" s="40"/>
      <x:c r="I482" s="42"/>
      <x:c r="J482" s="42" t="str">
        <x:f>IF(OR(H482="",I482=""),"",H482*I482)</x:f>
      </x:c>
      <x:c r="K482" s="40"/>
      <x:c r="L482" t="str">
        <x:f>IF(K482="","",A482-K482)</x:f>
      </x:c>
      <x:c r="M482" t="str">
        <x:f>IF(L482="","",IF(N482="Yes","Strategic Legacy",IF(L482&lt;=90,"Active",IF(L482&lt;=180,"Monitor",IF(L482&lt;=365,"Slow-Moving",IF(L482&lt;=730,"Excess","Obsolete"))))))</x:f>
      </x:c>
    </x:row>
    <x:row r="483">
      <x:c r="A483" s="40"/>
      <x:c r="I483" s="42"/>
      <x:c r="J483" s="42" t="str">
        <x:f>IF(OR(H483="",I483=""),"",H483*I483)</x:f>
      </x:c>
      <x:c r="K483" s="40"/>
      <x:c r="L483" t="str">
        <x:f>IF(K483="","",A483-K483)</x:f>
      </x:c>
      <x:c r="M483" t="str">
        <x:f>IF(L483="","",IF(N483="Yes","Strategic Legacy",IF(L483&lt;=90,"Active",IF(L483&lt;=180,"Monitor",IF(L483&lt;=365,"Slow-Moving",IF(L483&lt;=730,"Excess","Obsolete"))))))</x:f>
      </x:c>
    </x:row>
    <x:row r="484">
      <x:c r="A484" s="40"/>
      <x:c r="I484" s="42"/>
      <x:c r="J484" s="42" t="str">
        <x:f>IF(OR(H484="",I484=""),"",H484*I484)</x:f>
      </x:c>
      <x:c r="K484" s="40"/>
      <x:c r="L484" t="str">
        <x:f>IF(K484="","",A484-K484)</x:f>
      </x:c>
      <x:c r="M484" t="str">
        <x:f>IF(L484="","",IF(N484="Yes","Strategic Legacy",IF(L484&lt;=90,"Active",IF(L484&lt;=180,"Monitor",IF(L484&lt;=365,"Slow-Moving",IF(L484&lt;=730,"Excess","Obsolete"))))))</x:f>
      </x:c>
    </x:row>
    <x:row r="485">
      <x:c r="A485" s="40"/>
      <x:c r="I485" s="42"/>
      <x:c r="J485" s="42" t="str">
        <x:f>IF(OR(H485="",I485=""),"",H485*I485)</x:f>
      </x:c>
      <x:c r="K485" s="40"/>
      <x:c r="L485" t="str">
        <x:f>IF(K485="","",A485-K485)</x:f>
      </x:c>
      <x:c r="M485" t="str">
        <x:f>IF(L485="","",IF(N485="Yes","Strategic Legacy",IF(L485&lt;=90,"Active",IF(L485&lt;=180,"Monitor",IF(L485&lt;=365,"Slow-Moving",IF(L485&lt;=730,"Excess","Obsolete"))))))</x:f>
      </x:c>
    </x:row>
    <x:row r="486">
      <x:c r="A486" s="40"/>
      <x:c r="I486" s="42"/>
      <x:c r="J486" s="42" t="str">
        <x:f>IF(OR(H486="",I486=""),"",H486*I486)</x:f>
      </x:c>
      <x:c r="K486" s="40"/>
      <x:c r="L486" t="str">
        <x:f>IF(K486="","",A486-K486)</x:f>
      </x:c>
      <x:c r="M486" t="str">
        <x:f>IF(L486="","",IF(N486="Yes","Strategic Legacy",IF(L486&lt;=90,"Active",IF(L486&lt;=180,"Monitor",IF(L486&lt;=365,"Slow-Moving",IF(L486&lt;=730,"Excess","Obsolete"))))))</x:f>
      </x:c>
    </x:row>
    <x:row r="487">
      <x:c r="A487" s="40"/>
      <x:c r="I487" s="42"/>
      <x:c r="J487" s="42" t="str">
        <x:f>IF(OR(H487="",I487=""),"",H487*I487)</x:f>
      </x:c>
      <x:c r="K487" s="40"/>
      <x:c r="L487" t="str">
        <x:f>IF(K487="","",A487-K487)</x:f>
      </x:c>
      <x:c r="M487" t="str">
        <x:f>IF(L487="","",IF(N487="Yes","Strategic Legacy",IF(L487&lt;=90,"Active",IF(L487&lt;=180,"Monitor",IF(L487&lt;=365,"Slow-Moving",IF(L487&lt;=730,"Excess","Obsolete"))))))</x:f>
      </x:c>
    </x:row>
    <x:row r="488">
      <x:c r="A488" s="40"/>
      <x:c r="I488" s="42"/>
      <x:c r="J488" s="42" t="str">
        <x:f>IF(OR(H488="",I488=""),"",H488*I488)</x:f>
      </x:c>
      <x:c r="K488" s="40"/>
      <x:c r="L488" t="str">
        <x:f>IF(K488="","",A488-K488)</x:f>
      </x:c>
      <x:c r="M488" t="str">
        <x:f>IF(L488="","",IF(N488="Yes","Strategic Legacy",IF(L488&lt;=90,"Active",IF(L488&lt;=180,"Monitor",IF(L488&lt;=365,"Slow-Moving",IF(L488&lt;=730,"Excess","Obsolete"))))))</x:f>
      </x:c>
    </x:row>
    <x:row r="489">
      <x:c r="A489" s="40"/>
      <x:c r="I489" s="42"/>
      <x:c r="J489" s="42" t="str">
        <x:f>IF(OR(H489="",I489=""),"",H489*I489)</x:f>
      </x:c>
      <x:c r="K489" s="40"/>
      <x:c r="L489" t="str">
        <x:f>IF(K489="","",A489-K489)</x:f>
      </x:c>
      <x:c r="M489" t="str">
        <x:f>IF(L489="","",IF(N489="Yes","Strategic Legacy",IF(L489&lt;=90,"Active",IF(L489&lt;=180,"Monitor",IF(L489&lt;=365,"Slow-Moving",IF(L489&lt;=730,"Excess","Obsolete"))))))</x:f>
      </x:c>
    </x:row>
    <x:row r="490">
      <x:c r="A490" s="40"/>
      <x:c r="I490" s="42"/>
      <x:c r="J490" s="42" t="str">
        <x:f>IF(OR(H490="",I490=""),"",H490*I490)</x:f>
      </x:c>
      <x:c r="K490" s="40"/>
      <x:c r="L490" t="str">
        <x:f>IF(K490="","",A490-K490)</x:f>
      </x:c>
      <x:c r="M490" t="str">
        <x:f>IF(L490="","",IF(N490="Yes","Strategic Legacy",IF(L490&lt;=90,"Active",IF(L490&lt;=180,"Monitor",IF(L490&lt;=365,"Slow-Moving",IF(L490&lt;=730,"Excess","Obsolete"))))))</x:f>
      </x:c>
    </x:row>
    <x:row r="491">
      <x:c r="A491" s="40"/>
      <x:c r="I491" s="42"/>
      <x:c r="J491" s="42" t="str">
        <x:f>IF(OR(H491="",I491=""),"",H491*I491)</x:f>
      </x:c>
      <x:c r="K491" s="40"/>
      <x:c r="L491" t="str">
        <x:f>IF(K491="","",A491-K491)</x:f>
      </x:c>
      <x:c r="M491" t="str">
        <x:f>IF(L491="","",IF(N491="Yes","Strategic Legacy",IF(L491&lt;=90,"Active",IF(L491&lt;=180,"Monitor",IF(L491&lt;=365,"Slow-Moving",IF(L491&lt;=730,"Excess","Obsolete"))))))</x:f>
      </x:c>
    </x:row>
    <x:row r="492">
      <x:c r="A492" s="40"/>
      <x:c r="I492" s="42"/>
      <x:c r="J492" s="42" t="str">
        <x:f>IF(OR(H492="",I492=""),"",H492*I492)</x:f>
      </x:c>
      <x:c r="K492" s="40"/>
      <x:c r="L492" t="str">
        <x:f>IF(K492="","",A492-K492)</x:f>
      </x:c>
      <x:c r="M492" t="str">
        <x:f>IF(L492="","",IF(N492="Yes","Strategic Legacy",IF(L492&lt;=90,"Active",IF(L492&lt;=180,"Monitor",IF(L492&lt;=365,"Slow-Moving",IF(L492&lt;=730,"Excess","Obsolete"))))))</x:f>
      </x:c>
    </x:row>
    <x:row r="493">
      <x:c r="A493" s="40"/>
      <x:c r="I493" s="42"/>
      <x:c r="J493" s="42" t="str">
        <x:f>IF(OR(H493="",I493=""),"",H493*I493)</x:f>
      </x:c>
      <x:c r="K493" s="40"/>
      <x:c r="L493" t="str">
        <x:f>IF(K493="","",A493-K493)</x:f>
      </x:c>
      <x:c r="M493" t="str">
        <x:f>IF(L493="","",IF(N493="Yes","Strategic Legacy",IF(L493&lt;=90,"Active",IF(L493&lt;=180,"Monitor",IF(L493&lt;=365,"Slow-Moving",IF(L493&lt;=730,"Excess","Obsolete"))))))</x:f>
      </x:c>
    </x:row>
    <x:row r="494">
      <x:c r="A494" s="40"/>
      <x:c r="I494" s="42"/>
      <x:c r="J494" s="42" t="str">
        <x:f>IF(OR(H494="",I494=""),"",H494*I494)</x:f>
      </x:c>
      <x:c r="K494" s="40"/>
      <x:c r="L494" t="str">
        <x:f>IF(K494="","",A494-K494)</x:f>
      </x:c>
      <x:c r="M494" t="str">
        <x:f>IF(L494="","",IF(N494="Yes","Strategic Legacy",IF(L494&lt;=90,"Active",IF(L494&lt;=180,"Monitor",IF(L494&lt;=365,"Slow-Moving",IF(L494&lt;=730,"Excess","Obsolete"))))))</x:f>
      </x:c>
    </x:row>
    <x:row r="495">
      <x:c r="A495" s="40"/>
      <x:c r="I495" s="42"/>
      <x:c r="J495" s="42" t="str">
        <x:f>IF(OR(H495="",I495=""),"",H495*I495)</x:f>
      </x:c>
      <x:c r="K495" s="40"/>
      <x:c r="L495" t="str">
        <x:f>IF(K495="","",A495-K495)</x:f>
      </x:c>
      <x:c r="M495" t="str">
        <x:f>IF(L495="","",IF(N495="Yes","Strategic Legacy",IF(L495&lt;=90,"Active",IF(L495&lt;=180,"Monitor",IF(L495&lt;=365,"Slow-Moving",IF(L495&lt;=730,"Excess","Obsolete"))))))</x:f>
      </x:c>
    </x:row>
    <x:row r="496">
      <x:c r="A496" s="40"/>
      <x:c r="I496" s="42"/>
      <x:c r="J496" s="42" t="str">
        <x:f>IF(OR(H496="",I496=""),"",H496*I496)</x:f>
      </x:c>
      <x:c r="K496" s="40"/>
      <x:c r="L496" t="str">
        <x:f>IF(K496="","",A496-K496)</x:f>
      </x:c>
      <x:c r="M496" t="str">
        <x:f>IF(L496="","",IF(N496="Yes","Strategic Legacy",IF(L496&lt;=90,"Active",IF(L496&lt;=180,"Monitor",IF(L496&lt;=365,"Slow-Moving",IF(L496&lt;=730,"Excess","Obsolete"))))))</x:f>
      </x:c>
    </x:row>
    <x:row r="497">
      <x:c r="A497" s="40"/>
      <x:c r="I497" s="42"/>
      <x:c r="J497" s="42" t="str">
        <x:f>IF(OR(H497="",I497=""),"",H497*I497)</x:f>
      </x:c>
      <x:c r="K497" s="40"/>
      <x:c r="L497" t="str">
        <x:f>IF(K497="","",A497-K497)</x:f>
      </x:c>
      <x:c r="M497" t="str">
        <x:f>IF(L497="","",IF(N497="Yes","Strategic Legacy",IF(L497&lt;=90,"Active",IF(L497&lt;=180,"Monitor",IF(L497&lt;=365,"Slow-Moving",IF(L497&lt;=730,"Excess","Obsolete"))))))</x:f>
      </x:c>
    </x:row>
    <x:row r="498">
      <x:c r="A498" s="40"/>
      <x:c r="I498" s="42"/>
      <x:c r="J498" s="42" t="str">
        <x:f>IF(OR(H498="",I498=""),"",H498*I498)</x:f>
      </x:c>
      <x:c r="K498" s="40"/>
      <x:c r="L498" t="str">
        <x:f>IF(K498="","",A498-K498)</x:f>
      </x:c>
      <x:c r="M498" t="str">
        <x:f>IF(L498="","",IF(N498="Yes","Strategic Legacy",IF(L498&lt;=90,"Active",IF(L498&lt;=180,"Monitor",IF(L498&lt;=365,"Slow-Moving",IF(L498&lt;=730,"Excess","Obsolete"))))))</x:f>
      </x:c>
    </x:row>
    <x:row r="499">
      <x:c r="A499" s="40"/>
      <x:c r="I499" s="42"/>
      <x:c r="J499" s="42" t="str">
        <x:f>IF(OR(H499="",I499=""),"",H499*I499)</x:f>
      </x:c>
      <x:c r="K499" s="40"/>
      <x:c r="L499" t="str">
        <x:f>IF(K499="","",A499-K499)</x:f>
      </x:c>
      <x:c r="M499" t="str">
        <x:f>IF(L499="","",IF(N499="Yes","Strategic Legacy",IF(L499&lt;=90,"Active",IF(L499&lt;=180,"Monitor",IF(L499&lt;=365,"Slow-Moving",IF(L499&lt;=730,"Excess","Obsolete"))))))</x:f>
      </x:c>
    </x:row>
    <x:row r="500">
      <x:c r="A500" s="40"/>
      <x:c r="I500" s="42"/>
      <x:c r="J500" s="42" t="str">
        <x:f>IF(OR(H500="",I500=""),"",H500*I500)</x:f>
      </x:c>
      <x:c r="K500" s="40"/>
      <x:c r="L500" t="str">
        <x:f>IF(K500="","",A500-K500)</x:f>
      </x:c>
      <x:c r="M500" t="str">
        <x:f>IF(L500="","",IF(N500="Yes","Strategic Legacy",IF(L500&lt;=90,"Active",IF(L500&lt;=180,"Monitor",IF(L500&lt;=365,"Slow-Moving",IF(L500&lt;=730,"Excess","Obsolete"))))))</x:f>
      </x:c>
    </x:row>
    <x:row r="501">
      <x:c r="A501" s="40"/>
      <x:c r="I501" s="42"/>
      <x:c r="J501" s="42" t="str">
        <x:f>IF(OR(H501="",I501=""),"",H501*I501)</x:f>
      </x:c>
      <x:c r="K501" s="40"/>
      <x:c r="L501" t="str">
        <x:f>IF(K501="","",A501-K501)</x:f>
      </x:c>
      <x:c r="M501" t="str">
        <x:f>IF(L501="","",IF(N501="Yes","Strategic Legacy",IF(L501&lt;=90,"Active",IF(L501&lt;=180,"Monitor",IF(L501&lt;=365,"Slow-Moving",IF(L501&lt;=730,"Excess","Obsolete"))))))</x:f>
      </x:c>
    </x:row>
    <x:row r="502">
      <x:c r="A502" s="40"/>
      <x:c r="I502" s="42"/>
      <x:c r="J502" s="42" t="str">
        <x:f>IF(OR(H502="",I502=""),"",H502*I502)</x:f>
      </x:c>
      <x:c r="K502" s="40"/>
      <x:c r="L502" t="str">
        <x:f>IF(K502="","",A502-K502)</x:f>
      </x:c>
      <x:c r="M502" t="str">
        <x:f>IF(L502="","",IF(N502="Yes","Strategic Legacy",IF(L502&lt;=90,"Active",IF(L502&lt;=180,"Monitor",IF(L502&lt;=365,"Slow-Moving",IF(L502&lt;=730,"Excess","Obsolete"))))))</x:f>
      </x:c>
    </x:row>
    <x:row r="503">
      <x:c r="A503" s="40"/>
      <x:c r="I503" s="42"/>
      <x:c r="J503" s="42" t="str">
        <x:f>IF(OR(H503="",I503=""),"",H503*I503)</x:f>
      </x:c>
      <x:c r="K503" s="40"/>
      <x:c r="L503" t="str">
        <x:f>IF(K503="","",A503-K503)</x:f>
      </x:c>
      <x:c r="M503" t="str">
        <x:f>IF(L503="","",IF(N503="Yes","Strategic Legacy",IF(L503&lt;=90,"Active",IF(L503&lt;=180,"Monitor",IF(L503&lt;=365,"Slow-Moving",IF(L503&lt;=730,"Excess","Obsolete"))))))</x:f>
      </x:c>
    </x:row>
    <x:row r="504">
      <x:c r="A504" s="40"/>
      <x:c r="I504" s="42"/>
      <x:c r="J504" s="42" t="str">
        <x:f>IF(OR(H504="",I504=""),"",H504*I504)</x:f>
      </x:c>
      <x:c r="K504" s="40"/>
      <x:c r="L504" t="str">
        <x:f>IF(K504="","",A504-K504)</x:f>
      </x:c>
      <x:c r="M504" t="str">
        <x:f>IF(L504="","",IF(N504="Yes","Strategic Legacy",IF(L504&lt;=90,"Active",IF(L504&lt;=180,"Monitor",IF(L504&lt;=365,"Slow-Moving",IF(L504&lt;=730,"Excess","Obsolete"))))))</x:f>
      </x:c>
    </x:row>
    <x:row r="505">
      <x:c r="A505" s="40"/>
      <x:c r="I505" s="42"/>
      <x:c r="J505" s="42" t="str">
        <x:f>IF(OR(H505="",I505=""),"",H505*I505)</x:f>
      </x:c>
      <x:c r="K505" s="40"/>
      <x:c r="L505" t="str">
        <x:f>IF(K505="","",A505-K505)</x:f>
      </x:c>
      <x:c r="M505" t="str">
        <x:f>IF(L505="","",IF(N505="Yes","Strategic Legacy",IF(L505&lt;=90,"Active",IF(L505&lt;=180,"Monitor",IF(L505&lt;=365,"Slow-Moving",IF(L505&lt;=730,"Excess","Obsolete"))))))</x:f>
      </x:c>
    </x:row>
    <x:row r="506">
      <x:c r="A506" s="40"/>
      <x:c r="I506" s="42"/>
      <x:c r="J506" s="42" t="str">
        <x:f>IF(OR(H506="",I506=""),"",H506*I506)</x:f>
      </x:c>
      <x:c r="K506" s="40"/>
      <x:c r="L506" t="str">
        <x:f>IF(K506="","",A506-K506)</x:f>
      </x:c>
      <x:c r="M506" t="str">
        <x:f>IF(L506="","",IF(N506="Yes","Strategic Legacy",IF(L506&lt;=90,"Active",IF(L506&lt;=180,"Monitor",IF(L506&lt;=365,"Slow-Moving",IF(L506&lt;=730,"Excess","Obsolete"))))))</x:f>
      </x:c>
    </x:row>
    <x:row r="507">
      <x:c r="A507" s="40"/>
      <x:c r="I507" s="42"/>
      <x:c r="J507" s="42" t="str">
        <x:f>IF(OR(H507="",I507=""),"",H507*I507)</x:f>
      </x:c>
      <x:c r="K507" s="40"/>
      <x:c r="L507" t="str">
        <x:f>IF(K507="","",A507-K507)</x:f>
      </x:c>
      <x:c r="M507" t="str">
        <x:f>IF(L507="","",IF(N507="Yes","Strategic Legacy",IF(L507&lt;=90,"Active",IF(L507&lt;=180,"Monitor",IF(L507&lt;=365,"Slow-Moving",IF(L507&lt;=730,"Excess","Obsolete"))))))</x:f>
      </x:c>
    </x:row>
    <x:row r="508">
      <x:c r="A508" s="40"/>
      <x:c r="I508" s="42"/>
      <x:c r="J508" s="42" t="str">
        <x:f>IF(OR(H508="",I508=""),"",H508*I508)</x:f>
      </x:c>
      <x:c r="K508" s="40"/>
      <x:c r="L508" t="str">
        <x:f>IF(K508="","",A508-K508)</x:f>
      </x:c>
      <x:c r="M508" t="str">
        <x:f>IF(L508="","",IF(N508="Yes","Strategic Legacy",IF(L508&lt;=90,"Active",IF(L508&lt;=180,"Monitor",IF(L508&lt;=365,"Slow-Moving",IF(L508&lt;=730,"Excess","Obsolete"))))))</x:f>
      </x:c>
    </x:row>
    <x:row r="509">
      <x:c r="A509" s="40"/>
      <x:c r="I509" s="42"/>
      <x:c r="J509" s="42" t="str">
        <x:f>IF(OR(H509="",I509=""),"",H509*I509)</x:f>
      </x:c>
      <x:c r="K509" s="40"/>
      <x:c r="L509" t="str">
        <x:f>IF(K509="","",A509-K509)</x:f>
      </x:c>
      <x:c r="M509" t="str">
        <x:f>IF(L509="","",IF(N509="Yes","Strategic Legacy",IF(L509&lt;=90,"Active",IF(L509&lt;=180,"Monitor",IF(L509&lt;=365,"Slow-Moving",IF(L509&lt;=730,"Excess","Obsolete"))))))</x:f>
      </x:c>
    </x:row>
    <x:row r="510">
      <x:c r="A510" s="40"/>
      <x:c r="I510" s="42"/>
      <x:c r="J510" s="42" t="str">
        <x:f>IF(OR(H510="",I510=""),"",H510*I510)</x:f>
      </x:c>
      <x:c r="K510" s="40"/>
      <x:c r="L510" t="str">
        <x:f>IF(K510="","",A510-K510)</x:f>
      </x:c>
      <x:c r="M510" t="str">
        <x:f>IF(L510="","",IF(N510="Yes","Strategic Legacy",IF(L510&lt;=90,"Active",IF(L510&lt;=180,"Monitor",IF(L510&lt;=365,"Slow-Moving",IF(L510&lt;=730,"Excess","Obsolete"))))))</x:f>
      </x:c>
    </x:row>
    <x:row r="511">
      <x:c r="A511" s="40"/>
      <x:c r="I511" s="42"/>
      <x:c r="J511" s="42" t="str">
        <x:f>IF(OR(H511="",I511=""),"",H511*I511)</x:f>
      </x:c>
      <x:c r="K511" s="40"/>
      <x:c r="L511" t="str">
        <x:f>IF(K511="","",A511-K511)</x:f>
      </x:c>
      <x:c r="M511" t="str">
        <x:f>IF(L511="","",IF(N511="Yes","Strategic Legacy",IF(L511&lt;=90,"Active",IF(L511&lt;=180,"Monitor",IF(L511&lt;=365,"Slow-Moving",IF(L511&lt;=730,"Excess","Obsolete"))))))</x:f>
      </x:c>
    </x:row>
    <x:row r="512">
      <x:c r="A512" s="40"/>
      <x:c r="I512" s="42"/>
      <x:c r="J512" s="42" t="str">
        <x:f>IF(OR(H512="",I512=""),"",H512*I512)</x:f>
      </x:c>
      <x:c r="K512" s="40"/>
      <x:c r="L512" t="str">
        <x:f>IF(K512="","",A512-K512)</x:f>
      </x:c>
      <x:c r="M512" t="str">
        <x:f>IF(L512="","",IF(N512="Yes","Strategic Legacy",IF(L512&lt;=90,"Active",IF(L512&lt;=180,"Monitor",IF(L512&lt;=365,"Slow-Moving",IF(L512&lt;=730,"Excess","Obsolete"))))))</x:f>
      </x:c>
    </x:row>
    <x:row r="513">
      <x:c r="A513" s="40"/>
      <x:c r="I513" s="42"/>
      <x:c r="J513" s="42" t="str">
        <x:f>IF(OR(H513="",I513=""),"",H513*I513)</x:f>
      </x:c>
      <x:c r="K513" s="40"/>
      <x:c r="L513" t="str">
        <x:f>IF(K513="","",A513-K513)</x:f>
      </x:c>
      <x:c r="M513" t="str">
        <x:f>IF(L513="","",IF(N513="Yes","Strategic Legacy",IF(L513&lt;=90,"Active",IF(L513&lt;=180,"Monitor",IF(L513&lt;=365,"Slow-Moving",IF(L513&lt;=730,"Excess","Obsolete"))))))</x:f>
      </x:c>
    </x:row>
    <x:row r="514">
      <x:c r="A514" s="40"/>
      <x:c r="I514" s="42"/>
      <x:c r="J514" s="42" t="str">
        <x:f>IF(OR(H514="",I514=""),"",H514*I514)</x:f>
      </x:c>
      <x:c r="K514" s="40"/>
      <x:c r="L514" t="str">
        <x:f>IF(K514="","",A514-K514)</x:f>
      </x:c>
      <x:c r="M514" t="str">
        <x:f>IF(L514="","",IF(N514="Yes","Strategic Legacy",IF(L514&lt;=90,"Active",IF(L514&lt;=180,"Monitor",IF(L514&lt;=365,"Slow-Moving",IF(L514&lt;=730,"Excess","Obsolete"))))))</x:f>
      </x:c>
    </x:row>
    <x:row r="515">
      <x:c r="A515" s="40"/>
      <x:c r="I515" s="42"/>
      <x:c r="J515" s="42" t="str">
        <x:f>IF(OR(H515="",I515=""),"",H515*I515)</x:f>
      </x:c>
      <x:c r="K515" s="40"/>
      <x:c r="L515" t="str">
        <x:f>IF(K515="","",A515-K515)</x:f>
      </x:c>
      <x:c r="M515" t="str">
        <x:f>IF(L515="","",IF(N515="Yes","Strategic Legacy",IF(L515&lt;=90,"Active",IF(L515&lt;=180,"Monitor",IF(L515&lt;=365,"Slow-Moving",IF(L515&lt;=730,"Excess","Obsolete"))))))</x:f>
      </x:c>
    </x:row>
    <x:row r="516">
      <x:c r="A516" s="40"/>
      <x:c r="I516" s="42"/>
      <x:c r="J516" s="42" t="str">
        <x:f>IF(OR(H516="",I516=""),"",H516*I516)</x:f>
      </x:c>
      <x:c r="K516" s="40"/>
      <x:c r="L516" t="str">
        <x:f>IF(K516="","",A516-K516)</x:f>
      </x:c>
      <x:c r="M516" t="str">
        <x:f>IF(L516="","",IF(N516="Yes","Strategic Legacy",IF(L516&lt;=90,"Active",IF(L516&lt;=180,"Monitor",IF(L516&lt;=365,"Slow-Moving",IF(L516&lt;=730,"Excess","Obsolete"))))))</x:f>
      </x:c>
    </x:row>
    <x:row r="517">
      <x:c r="A517" s="40"/>
      <x:c r="I517" s="42"/>
      <x:c r="J517" s="42" t="str">
        <x:f>IF(OR(H517="",I517=""),"",H517*I517)</x:f>
      </x:c>
      <x:c r="K517" s="40"/>
      <x:c r="L517" t="str">
        <x:f>IF(K517="","",A517-K517)</x:f>
      </x:c>
      <x:c r="M517" t="str">
        <x:f>IF(L517="","",IF(N517="Yes","Strategic Legacy",IF(L517&lt;=90,"Active",IF(L517&lt;=180,"Monitor",IF(L517&lt;=365,"Slow-Moving",IF(L517&lt;=730,"Excess","Obsolete"))))))</x:f>
      </x:c>
    </x:row>
    <x:row r="518">
      <x:c r="A518" s="40"/>
      <x:c r="I518" s="42"/>
      <x:c r="J518" s="42" t="str">
        <x:f>IF(OR(H518="",I518=""),"",H518*I518)</x:f>
      </x:c>
      <x:c r="K518" s="40"/>
      <x:c r="L518" t="str">
        <x:f>IF(K518="","",A518-K518)</x:f>
      </x:c>
      <x:c r="M518" t="str">
        <x:f>IF(L518="","",IF(N518="Yes","Strategic Legacy",IF(L518&lt;=90,"Active",IF(L518&lt;=180,"Monitor",IF(L518&lt;=365,"Slow-Moving",IF(L518&lt;=730,"Excess","Obsolete"))))))</x:f>
      </x:c>
    </x:row>
    <x:row r="519">
      <x:c r="A519" s="40"/>
      <x:c r="I519" s="42"/>
      <x:c r="J519" s="42" t="str">
        <x:f>IF(OR(H519="",I519=""),"",H519*I519)</x:f>
      </x:c>
      <x:c r="K519" s="40"/>
      <x:c r="L519" t="str">
        <x:f>IF(K519="","",A519-K519)</x:f>
      </x:c>
      <x:c r="M519" t="str">
        <x:f>IF(L519="","",IF(N519="Yes","Strategic Legacy",IF(L519&lt;=90,"Active",IF(L519&lt;=180,"Monitor",IF(L519&lt;=365,"Slow-Moving",IF(L519&lt;=730,"Excess","Obsolete"))))))</x:f>
      </x:c>
    </x:row>
    <x:row r="520">
      <x:c r="A520" s="40"/>
      <x:c r="I520" s="42"/>
      <x:c r="J520" s="42" t="str">
        <x:f>IF(OR(H520="",I520=""),"",H520*I520)</x:f>
      </x:c>
      <x:c r="K520" s="40"/>
      <x:c r="L520" t="str">
        <x:f>IF(K520="","",A520-K520)</x:f>
      </x:c>
      <x:c r="M520" t="str">
        <x:f>IF(L520="","",IF(N520="Yes","Strategic Legacy",IF(L520&lt;=90,"Active",IF(L520&lt;=180,"Monitor",IF(L520&lt;=365,"Slow-Moving",IF(L520&lt;=730,"Excess","Obsolete"))))))</x:f>
      </x:c>
    </x:row>
    <x:row r="521">
      <x:c r="A521" s="40"/>
      <x:c r="I521" s="42"/>
      <x:c r="J521" s="42" t="str">
        <x:f>IF(OR(H521="",I521=""),"",H521*I521)</x:f>
      </x:c>
      <x:c r="K521" s="40"/>
      <x:c r="L521" t="str">
        <x:f>IF(K521="","",A521-K521)</x:f>
      </x:c>
      <x:c r="M521" t="str">
        <x:f>IF(L521="","",IF(N521="Yes","Strategic Legacy",IF(L521&lt;=90,"Active",IF(L521&lt;=180,"Monitor",IF(L521&lt;=365,"Slow-Moving",IF(L521&lt;=730,"Excess","Obsolete"))))))</x:f>
      </x:c>
    </x:row>
    <x:row r="522">
      <x:c r="A522" s="40"/>
      <x:c r="I522" s="42"/>
      <x:c r="J522" s="42" t="str">
        <x:f>IF(OR(H522="",I522=""),"",H522*I522)</x:f>
      </x:c>
      <x:c r="K522" s="40"/>
      <x:c r="L522" t="str">
        <x:f>IF(K522="","",A522-K522)</x:f>
      </x:c>
      <x:c r="M522" t="str">
        <x:f>IF(L522="","",IF(N522="Yes","Strategic Legacy",IF(L522&lt;=90,"Active",IF(L522&lt;=180,"Monitor",IF(L522&lt;=365,"Slow-Moving",IF(L522&lt;=730,"Excess","Obsolete"))))))</x:f>
      </x:c>
    </x:row>
    <x:row r="523">
      <x:c r="A523" s="40"/>
      <x:c r="I523" s="42"/>
      <x:c r="J523" s="42" t="str">
        <x:f>IF(OR(H523="",I523=""),"",H523*I523)</x:f>
      </x:c>
      <x:c r="K523" s="40"/>
      <x:c r="L523" t="str">
        <x:f>IF(K523="","",A523-K523)</x:f>
      </x:c>
      <x:c r="M523" t="str">
        <x:f>IF(L523="","",IF(N523="Yes","Strategic Legacy",IF(L523&lt;=90,"Active",IF(L523&lt;=180,"Monitor",IF(L523&lt;=365,"Slow-Moving",IF(L523&lt;=730,"Excess","Obsolete"))))))</x:f>
      </x:c>
    </x:row>
    <x:row r="524">
      <x:c r="A524" s="40"/>
      <x:c r="I524" s="42"/>
      <x:c r="J524" s="42" t="str">
        <x:f>IF(OR(H524="",I524=""),"",H524*I524)</x:f>
      </x:c>
      <x:c r="K524" s="40"/>
      <x:c r="L524" t="str">
        <x:f>IF(K524="","",A524-K524)</x:f>
      </x:c>
      <x:c r="M524" t="str">
        <x:f>IF(L524="","",IF(N524="Yes","Strategic Legacy",IF(L524&lt;=90,"Active",IF(L524&lt;=180,"Monitor",IF(L524&lt;=365,"Slow-Moving",IF(L524&lt;=730,"Excess","Obsolete"))))))</x:f>
      </x:c>
    </x:row>
    <x:row r="525">
      <x:c r="A525" s="40"/>
      <x:c r="I525" s="42"/>
      <x:c r="J525" s="42" t="str">
        <x:f>IF(OR(H525="",I525=""),"",H525*I525)</x:f>
      </x:c>
      <x:c r="K525" s="40"/>
      <x:c r="L525" t="str">
        <x:f>IF(K525="","",A525-K525)</x:f>
      </x:c>
      <x:c r="M525" t="str">
        <x:f>IF(L525="","",IF(N525="Yes","Strategic Legacy",IF(L525&lt;=90,"Active",IF(L525&lt;=180,"Monitor",IF(L525&lt;=365,"Slow-Moving",IF(L525&lt;=730,"Excess","Obsolete"))))))</x:f>
      </x:c>
    </x:row>
    <x:row r="526">
      <x:c r="A526" s="40"/>
      <x:c r="I526" s="42"/>
      <x:c r="J526" s="42" t="str">
        <x:f>IF(OR(H526="",I526=""),"",H526*I526)</x:f>
      </x:c>
      <x:c r="K526" s="40"/>
      <x:c r="L526" t="str">
        <x:f>IF(K526="","",A526-K526)</x:f>
      </x:c>
      <x:c r="M526" t="str">
        <x:f>IF(L526="","",IF(N526="Yes","Strategic Legacy",IF(L526&lt;=90,"Active",IF(L526&lt;=180,"Monitor",IF(L526&lt;=365,"Slow-Moving",IF(L526&lt;=730,"Excess","Obsolete"))))))</x:f>
      </x:c>
    </x:row>
    <x:row r="527">
      <x:c r="A527" s="40"/>
      <x:c r="I527" s="42"/>
      <x:c r="J527" s="42" t="str">
        <x:f>IF(OR(H527="",I527=""),"",H527*I527)</x:f>
      </x:c>
      <x:c r="K527" s="40"/>
      <x:c r="L527" t="str">
        <x:f>IF(K527="","",A527-K527)</x:f>
      </x:c>
      <x:c r="M527" t="str">
        <x:f>IF(L527="","",IF(N527="Yes","Strategic Legacy",IF(L527&lt;=90,"Active",IF(L527&lt;=180,"Monitor",IF(L527&lt;=365,"Slow-Moving",IF(L527&lt;=730,"Excess","Obsolete"))))))</x:f>
      </x:c>
    </x:row>
    <x:row r="528">
      <x:c r="A528" s="40"/>
      <x:c r="I528" s="42"/>
      <x:c r="J528" s="42" t="str">
        <x:f>IF(OR(H528="",I528=""),"",H528*I528)</x:f>
      </x:c>
      <x:c r="K528" s="40"/>
      <x:c r="L528" t="str">
        <x:f>IF(K528="","",A528-K528)</x:f>
      </x:c>
      <x:c r="M528" t="str">
        <x:f>IF(L528="","",IF(N528="Yes","Strategic Legacy",IF(L528&lt;=90,"Active",IF(L528&lt;=180,"Monitor",IF(L528&lt;=365,"Slow-Moving",IF(L528&lt;=730,"Excess","Obsolete"))))))</x:f>
      </x:c>
    </x:row>
    <x:row r="529">
      <x:c r="A529" s="40"/>
      <x:c r="I529" s="42"/>
      <x:c r="J529" s="42" t="str">
        <x:f>IF(OR(H529="",I529=""),"",H529*I529)</x:f>
      </x:c>
      <x:c r="K529" s="40"/>
      <x:c r="L529" t="str">
        <x:f>IF(K529="","",A529-K529)</x:f>
      </x:c>
      <x:c r="M529" t="str">
        <x:f>IF(L529="","",IF(N529="Yes","Strategic Legacy",IF(L529&lt;=90,"Active",IF(L529&lt;=180,"Monitor",IF(L529&lt;=365,"Slow-Moving",IF(L529&lt;=730,"Excess","Obsolete"))))))</x:f>
      </x:c>
    </x:row>
    <x:row r="530">
      <x:c r="A530" s="40"/>
      <x:c r="I530" s="42"/>
      <x:c r="J530" s="42" t="str">
        <x:f>IF(OR(H530="",I530=""),"",H530*I530)</x:f>
      </x:c>
      <x:c r="K530" s="40"/>
      <x:c r="L530" t="str">
        <x:f>IF(K530="","",A530-K530)</x:f>
      </x:c>
      <x:c r="M530" t="str">
        <x:f>IF(L530="","",IF(N530="Yes","Strategic Legacy",IF(L530&lt;=90,"Active",IF(L530&lt;=180,"Monitor",IF(L530&lt;=365,"Slow-Moving",IF(L530&lt;=730,"Excess","Obsolete"))))))</x:f>
      </x:c>
    </x:row>
    <x:row r="531">
      <x:c r="A531" s="40"/>
      <x:c r="I531" s="42"/>
      <x:c r="J531" s="42" t="str">
        <x:f>IF(OR(H531="",I531=""),"",H531*I531)</x:f>
      </x:c>
      <x:c r="K531" s="40"/>
      <x:c r="L531" t="str">
        <x:f>IF(K531="","",A531-K531)</x:f>
      </x:c>
      <x:c r="M531" t="str">
        <x:f>IF(L531="","",IF(N531="Yes","Strategic Legacy",IF(L531&lt;=90,"Active",IF(L531&lt;=180,"Monitor",IF(L531&lt;=365,"Slow-Moving",IF(L531&lt;=730,"Excess","Obsolete"))))))</x:f>
      </x:c>
    </x:row>
    <x:row r="532">
      <x:c r="A532" s="40"/>
      <x:c r="I532" s="42"/>
      <x:c r="J532" s="42" t="str">
        <x:f>IF(OR(H532="",I532=""),"",H532*I532)</x:f>
      </x:c>
      <x:c r="K532" s="40"/>
      <x:c r="L532" t="str">
        <x:f>IF(K532="","",A532-K532)</x:f>
      </x:c>
      <x:c r="M532" t="str">
        <x:f>IF(L532="","",IF(N532="Yes","Strategic Legacy",IF(L532&lt;=90,"Active",IF(L532&lt;=180,"Monitor",IF(L532&lt;=365,"Slow-Moving",IF(L532&lt;=730,"Excess","Obsolete"))))))</x:f>
      </x:c>
    </x:row>
    <x:row r="533">
      <x:c r="A533" s="40"/>
      <x:c r="I533" s="42"/>
      <x:c r="J533" s="42" t="str">
        <x:f>IF(OR(H533="",I533=""),"",H533*I533)</x:f>
      </x:c>
      <x:c r="K533" s="40"/>
      <x:c r="L533" t="str">
        <x:f>IF(K533="","",A533-K533)</x:f>
      </x:c>
      <x:c r="M533" t="str">
        <x:f>IF(L533="","",IF(N533="Yes","Strategic Legacy",IF(L533&lt;=90,"Active",IF(L533&lt;=180,"Monitor",IF(L533&lt;=365,"Slow-Moving",IF(L533&lt;=730,"Excess","Obsolete"))))))</x:f>
      </x:c>
    </x:row>
    <x:row r="534">
      <x:c r="A534" s="40"/>
      <x:c r="I534" s="42"/>
      <x:c r="J534" s="42" t="str">
        <x:f>IF(OR(H534="",I534=""),"",H534*I534)</x:f>
      </x:c>
      <x:c r="K534" s="40"/>
      <x:c r="L534" t="str">
        <x:f>IF(K534="","",A534-K534)</x:f>
      </x:c>
      <x:c r="M534" t="str">
        <x:f>IF(L534="","",IF(N534="Yes","Strategic Legacy",IF(L534&lt;=90,"Active",IF(L534&lt;=180,"Monitor",IF(L534&lt;=365,"Slow-Moving",IF(L534&lt;=730,"Excess","Obsolete"))))))</x:f>
      </x:c>
    </x:row>
    <x:row r="535">
      <x:c r="A535" s="40"/>
      <x:c r="I535" s="42"/>
      <x:c r="J535" s="42" t="str">
        <x:f>IF(OR(H535="",I535=""),"",H535*I535)</x:f>
      </x:c>
      <x:c r="K535" s="40"/>
      <x:c r="L535" t="str">
        <x:f>IF(K535="","",A535-K535)</x:f>
      </x:c>
      <x:c r="M535" t="str">
        <x:f>IF(L535="","",IF(N535="Yes","Strategic Legacy",IF(L535&lt;=90,"Active",IF(L535&lt;=180,"Monitor",IF(L535&lt;=365,"Slow-Moving",IF(L535&lt;=730,"Excess","Obsolete"))))))</x:f>
      </x:c>
    </x:row>
    <x:row r="536">
      <x:c r="A536" s="40"/>
      <x:c r="I536" s="42"/>
      <x:c r="J536" s="42" t="str">
        <x:f>IF(OR(H536="",I536=""),"",H536*I536)</x:f>
      </x:c>
      <x:c r="K536" s="40"/>
      <x:c r="L536" t="str">
        <x:f>IF(K536="","",A536-K536)</x:f>
      </x:c>
      <x:c r="M536" t="str">
        <x:f>IF(L536="","",IF(N536="Yes","Strategic Legacy",IF(L536&lt;=90,"Active",IF(L536&lt;=180,"Monitor",IF(L536&lt;=365,"Slow-Moving",IF(L536&lt;=730,"Excess","Obsolete"))))))</x:f>
      </x:c>
    </x:row>
    <x:row r="537">
      <x:c r="A537" s="40"/>
      <x:c r="I537" s="42"/>
      <x:c r="J537" s="42" t="str">
        <x:f>IF(OR(H537="",I537=""),"",H537*I537)</x:f>
      </x:c>
      <x:c r="K537" s="40"/>
      <x:c r="L537" t="str">
        <x:f>IF(K537="","",A537-K537)</x:f>
      </x:c>
      <x:c r="M537" t="str">
        <x:f>IF(L537="","",IF(N537="Yes","Strategic Legacy",IF(L537&lt;=90,"Active",IF(L537&lt;=180,"Monitor",IF(L537&lt;=365,"Slow-Moving",IF(L537&lt;=730,"Excess","Obsolete"))))))</x:f>
      </x:c>
    </x:row>
    <x:row r="538">
      <x:c r="A538" s="40"/>
      <x:c r="I538" s="42"/>
      <x:c r="J538" s="42" t="str">
        <x:f>IF(OR(H538="",I538=""),"",H538*I538)</x:f>
      </x:c>
      <x:c r="K538" s="40"/>
      <x:c r="L538" t="str">
        <x:f>IF(K538="","",A538-K538)</x:f>
      </x:c>
      <x:c r="M538" t="str">
        <x:f>IF(L538="","",IF(N538="Yes","Strategic Legacy",IF(L538&lt;=90,"Active",IF(L538&lt;=180,"Monitor",IF(L538&lt;=365,"Slow-Moving",IF(L538&lt;=730,"Excess","Obsolete"))))))</x:f>
      </x:c>
    </x:row>
    <x:row r="539">
      <x:c r="A539" s="40"/>
      <x:c r="I539" s="42"/>
      <x:c r="J539" s="42" t="str">
        <x:f>IF(OR(H539="",I539=""),"",H539*I539)</x:f>
      </x:c>
      <x:c r="K539" s="40"/>
      <x:c r="L539" t="str">
        <x:f>IF(K539="","",A539-K539)</x:f>
      </x:c>
      <x:c r="M539" t="str">
        <x:f>IF(L539="","",IF(N539="Yes","Strategic Legacy",IF(L539&lt;=90,"Active",IF(L539&lt;=180,"Monitor",IF(L539&lt;=365,"Slow-Moving",IF(L539&lt;=730,"Excess","Obsolete"))))))</x:f>
      </x:c>
    </x:row>
    <x:row r="540">
      <x:c r="A540" s="40"/>
      <x:c r="I540" s="42"/>
      <x:c r="J540" s="42" t="str">
        <x:f>IF(OR(H540="",I540=""),"",H540*I540)</x:f>
      </x:c>
      <x:c r="K540" s="40"/>
      <x:c r="L540" t="str">
        <x:f>IF(K540="","",A540-K540)</x:f>
      </x:c>
      <x:c r="M540" t="str">
        <x:f>IF(L540="","",IF(N540="Yes","Strategic Legacy",IF(L540&lt;=90,"Active",IF(L540&lt;=180,"Monitor",IF(L540&lt;=365,"Slow-Moving",IF(L540&lt;=730,"Excess","Obsolete"))))))</x:f>
      </x:c>
    </x:row>
    <x:row r="541">
      <x:c r="A541" s="40"/>
      <x:c r="I541" s="42"/>
      <x:c r="J541" s="42" t="str">
        <x:f>IF(OR(H541="",I541=""),"",H541*I541)</x:f>
      </x:c>
      <x:c r="K541" s="40"/>
      <x:c r="L541" t="str">
        <x:f>IF(K541="","",A541-K541)</x:f>
      </x:c>
      <x:c r="M541" t="str">
        <x:f>IF(L541="","",IF(N541="Yes","Strategic Legacy",IF(L541&lt;=90,"Active",IF(L541&lt;=180,"Monitor",IF(L541&lt;=365,"Slow-Moving",IF(L541&lt;=730,"Excess","Obsolete"))))))</x:f>
      </x:c>
    </x:row>
    <x:row r="542">
      <x:c r="A542" s="40"/>
      <x:c r="I542" s="42"/>
      <x:c r="J542" s="42" t="str">
        <x:f>IF(OR(H542="",I542=""),"",H542*I542)</x:f>
      </x:c>
      <x:c r="K542" s="40"/>
      <x:c r="L542" t="str">
        <x:f>IF(K542="","",A542-K542)</x:f>
      </x:c>
      <x:c r="M542" t="str">
        <x:f>IF(L542="","",IF(N542="Yes","Strategic Legacy",IF(L542&lt;=90,"Active",IF(L542&lt;=180,"Monitor",IF(L542&lt;=365,"Slow-Moving",IF(L542&lt;=730,"Excess","Obsolete"))))))</x:f>
      </x:c>
    </x:row>
    <x:row r="543">
      <x:c r="A543" s="40"/>
      <x:c r="I543" s="42"/>
      <x:c r="J543" s="42" t="str">
        <x:f>IF(OR(H543="",I543=""),"",H543*I543)</x:f>
      </x:c>
      <x:c r="K543" s="40"/>
      <x:c r="L543" t="str">
        <x:f>IF(K543="","",A543-K543)</x:f>
      </x:c>
      <x:c r="M543" t="str">
        <x:f>IF(L543="","",IF(N543="Yes","Strategic Legacy",IF(L543&lt;=90,"Active",IF(L543&lt;=180,"Monitor",IF(L543&lt;=365,"Slow-Moving",IF(L543&lt;=730,"Excess","Obsolete"))))))</x:f>
      </x:c>
    </x:row>
    <x:row r="544">
      <x:c r="A544" s="40"/>
      <x:c r="I544" s="42"/>
      <x:c r="J544" s="42" t="str">
        <x:f>IF(OR(H544="",I544=""),"",H544*I544)</x:f>
      </x:c>
      <x:c r="K544" s="40"/>
      <x:c r="L544" t="str">
        <x:f>IF(K544="","",A544-K544)</x:f>
      </x:c>
      <x:c r="M544" t="str">
        <x:f>IF(L544="","",IF(N544="Yes","Strategic Legacy",IF(L544&lt;=90,"Active",IF(L544&lt;=180,"Monitor",IF(L544&lt;=365,"Slow-Moving",IF(L544&lt;=730,"Excess","Obsolete"))))))</x:f>
      </x:c>
    </x:row>
    <x:row r="545">
      <x:c r="A545" s="40"/>
      <x:c r="I545" s="42"/>
      <x:c r="J545" s="42" t="str">
        <x:f>IF(OR(H545="",I545=""),"",H545*I545)</x:f>
      </x:c>
      <x:c r="K545" s="40"/>
      <x:c r="L545" t="str">
        <x:f>IF(K545="","",A545-K545)</x:f>
      </x:c>
      <x:c r="M545" t="str">
        <x:f>IF(L545="","",IF(N545="Yes","Strategic Legacy",IF(L545&lt;=90,"Active",IF(L545&lt;=180,"Monitor",IF(L545&lt;=365,"Slow-Moving",IF(L545&lt;=730,"Excess","Obsolete"))))))</x:f>
      </x:c>
    </x:row>
    <x:row r="546">
      <x:c r="A546" s="40"/>
      <x:c r="I546" s="42"/>
      <x:c r="J546" s="42" t="str">
        <x:f>IF(OR(H546="",I546=""),"",H546*I546)</x:f>
      </x:c>
      <x:c r="K546" s="40"/>
      <x:c r="L546" t="str">
        <x:f>IF(K546="","",A546-K546)</x:f>
      </x:c>
      <x:c r="M546" t="str">
        <x:f>IF(L546="","",IF(N546="Yes","Strategic Legacy",IF(L546&lt;=90,"Active",IF(L546&lt;=180,"Monitor",IF(L546&lt;=365,"Slow-Moving",IF(L546&lt;=730,"Excess","Obsolete"))))))</x:f>
      </x:c>
    </x:row>
    <x:row r="547">
      <x:c r="A547" s="40"/>
      <x:c r="I547" s="42"/>
      <x:c r="J547" s="42" t="str">
        <x:f>IF(OR(H547="",I547=""),"",H547*I547)</x:f>
      </x:c>
      <x:c r="K547" s="40"/>
      <x:c r="L547" t="str">
        <x:f>IF(K547="","",A547-K547)</x:f>
      </x:c>
      <x:c r="M547" t="str">
        <x:f>IF(L547="","",IF(N547="Yes","Strategic Legacy",IF(L547&lt;=90,"Active",IF(L547&lt;=180,"Monitor",IF(L547&lt;=365,"Slow-Moving",IF(L547&lt;=730,"Excess","Obsolete"))))))</x:f>
      </x:c>
    </x:row>
    <x:row r="548">
      <x:c r="A548" s="40"/>
      <x:c r="I548" s="42"/>
      <x:c r="J548" s="42" t="str">
        <x:f>IF(OR(H548="",I548=""),"",H548*I548)</x:f>
      </x:c>
      <x:c r="K548" s="40"/>
      <x:c r="L548" t="str">
        <x:f>IF(K548="","",A548-K548)</x:f>
      </x:c>
      <x:c r="M548" t="str">
        <x:f>IF(L548="","",IF(N548="Yes","Strategic Legacy",IF(L548&lt;=90,"Active",IF(L548&lt;=180,"Monitor",IF(L548&lt;=365,"Slow-Moving",IF(L548&lt;=730,"Excess","Obsolete"))))))</x:f>
      </x:c>
    </x:row>
    <x:row r="549">
      <x:c r="A549" s="40"/>
      <x:c r="I549" s="42"/>
      <x:c r="J549" s="42" t="str">
        <x:f>IF(OR(H549="",I549=""),"",H549*I549)</x:f>
      </x:c>
      <x:c r="K549" s="40"/>
      <x:c r="L549" t="str">
        <x:f>IF(K549="","",A549-K549)</x:f>
      </x:c>
      <x:c r="M549" t="str">
        <x:f>IF(L549="","",IF(N549="Yes","Strategic Legacy",IF(L549&lt;=90,"Active",IF(L549&lt;=180,"Monitor",IF(L549&lt;=365,"Slow-Moving",IF(L549&lt;=730,"Excess","Obsolete"))))))</x:f>
      </x:c>
    </x:row>
    <x:row r="550">
      <x:c r="A550" s="40"/>
      <x:c r="I550" s="42"/>
      <x:c r="J550" s="42" t="str">
        <x:f>IF(OR(H550="",I550=""),"",H550*I550)</x:f>
      </x:c>
      <x:c r="K550" s="40"/>
      <x:c r="L550" t="str">
        <x:f>IF(K550="","",A550-K550)</x:f>
      </x:c>
      <x:c r="M550" t="str">
        <x:f>IF(L550="","",IF(N550="Yes","Strategic Legacy",IF(L550&lt;=90,"Active",IF(L550&lt;=180,"Monitor",IF(L550&lt;=365,"Slow-Moving",IF(L550&lt;=730,"Excess","Obsolete"))))))</x:f>
      </x:c>
    </x:row>
    <x:row r="551">
      <x:c r="A551" s="40"/>
      <x:c r="I551" s="42"/>
      <x:c r="J551" s="42" t="str">
        <x:f>IF(OR(H551="",I551=""),"",H551*I551)</x:f>
      </x:c>
      <x:c r="K551" s="40"/>
      <x:c r="L551" t="str">
        <x:f>IF(K551="","",A551-K551)</x:f>
      </x:c>
      <x:c r="M551" t="str">
        <x:f>IF(L551="","",IF(N551="Yes","Strategic Legacy",IF(L551&lt;=90,"Active",IF(L551&lt;=180,"Monitor",IF(L551&lt;=365,"Slow-Moving",IF(L551&lt;=730,"Excess","Obsolete"))))))</x:f>
      </x:c>
    </x:row>
    <x:row r="552">
      <x:c r="A552" s="40"/>
      <x:c r="I552" s="42"/>
      <x:c r="J552" s="42" t="str">
        <x:f>IF(OR(H552="",I552=""),"",H552*I552)</x:f>
      </x:c>
      <x:c r="K552" s="40"/>
      <x:c r="L552" t="str">
        <x:f>IF(K552="","",A552-K552)</x:f>
      </x:c>
      <x:c r="M552" t="str">
        <x:f>IF(L552="","",IF(N552="Yes","Strategic Legacy",IF(L552&lt;=90,"Active",IF(L552&lt;=180,"Monitor",IF(L552&lt;=365,"Slow-Moving",IF(L552&lt;=730,"Excess","Obsolete"))))))</x:f>
      </x:c>
    </x:row>
    <x:row r="553">
      <x:c r="A553" s="40"/>
      <x:c r="I553" s="42"/>
      <x:c r="J553" s="42" t="str">
        <x:f>IF(OR(H553="",I553=""),"",H553*I553)</x:f>
      </x:c>
      <x:c r="K553" s="40"/>
      <x:c r="L553" t="str">
        <x:f>IF(K553="","",A553-K553)</x:f>
      </x:c>
      <x:c r="M553" t="str">
        <x:f>IF(L553="","",IF(N553="Yes","Strategic Legacy",IF(L553&lt;=90,"Active",IF(L553&lt;=180,"Monitor",IF(L553&lt;=365,"Slow-Moving",IF(L553&lt;=730,"Excess","Obsolete"))))))</x:f>
      </x:c>
    </x:row>
    <x:row r="554">
      <x:c r="A554" s="40"/>
      <x:c r="I554" s="42"/>
      <x:c r="J554" s="42" t="str">
        <x:f>IF(OR(H554="",I554=""),"",H554*I554)</x:f>
      </x:c>
      <x:c r="K554" s="40"/>
      <x:c r="L554" t="str">
        <x:f>IF(K554="","",A554-K554)</x:f>
      </x:c>
      <x:c r="M554" t="str">
        <x:f>IF(L554="","",IF(N554="Yes","Strategic Legacy",IF(L554&lt;=90,"Active",IF(L554&lt;=180,"Monitor",IF(L554&lt;=365,"Slow-Moving",IF(L554&lt;=730,"Excess","Obsolete"))))))</x:f>
      </x:c>
    </x:row>
    <x:row r="555">
      <x:c r="A555" s="40"/>
      <x:c r="I555" s="42"/>
      <x:c r="J555" s="42" t="str">
        <x:f>IF(OR(H555="",I555=""),"",H555*I555)</x:f>
      </x:c>
      <x:c r="K555" s="40"/>
      <x:c r="L555" t="str">
        <x:f>IF(K555="","",A555-K555)</x:f>
      </x:c>
      <x:c r="M555" t="str">
        <x:f>IF(L555="","",IF(N555="Yes","Strategic Legacy",IF(L555&lt;=90,"Active",IF(L555&lt;=180,"Monitor",IF(L555&lt;=365,"Slow-Moving",IF(L555&lt;=730,"Excess","Obsolete"))))))</x:f>
      </x:c>
    </x:row>
    <x:row r="556">
      <x:c r="A556" s="40"/>
      <x:c r="I556" s="42"/>
      <x:c r="J556" s="42" t="str">
        <x:f>IF(OR(H556="",I556=""),"",H556*I556)</x:f>
      </x:c>
      <x:c r="K556" s="40"/>
      <x:c r="L556" t="str">
        <x:f>IF(K556="","",A556-K556)</x:f>
      </x:c>
      <x:c r="M556" t="str">
        <x:f>IF(L556="","",IF(N556="Yes","Strategic Legacy",IF(L556&lt;=90,"Active",IF(L556&lt;=180,"Monitor",IF(L556&lt;=365,"Slow-Moving",IF(L556&lt;=730,"Excess","Obsolete"))))))</x:f>
      </x:c>
    </x:row>
    <x:row r="557">
      <x:c r="A557" s="40"/>
      <x:c r="I557" s="42"/>
      <x:c r="J557" s="42" t="str">
        <x:f>IF(OR(H557="",I557=""),"",H557*I557)</x:f>
      </x:c>
      <x:c r="K557" s="40"/>
      <x:c r="L557" t="str">
        <x:f>IF(K557="","",A557-K557)</x:f>
      </x:c>
      <x:c r="M557" t="str">
        <x:f>IF(L557="","",IF(N557="Yes","Strategic Legacy",IF(L557&lt;=90,"Active",IF(L557&lt;=180,"Monitor",IF(L557&lt;=365,"Slow-Moving",IF(L557&lt;=730,"Excess","Obsolete"))))))</x:f>
      </x:c>
    </x:row>
    <x:row r="558">
      <x:c r="A558" s="40"/>
      <x:c r="I558" s="42"/>
      <x:c r="J558" s="42" t="str">
        <x:f>IF(OR(H558="",I558=""),"",H558*I558)</x:f>
      </x:c>
      <x:c r="K558" s="40"/>
      <x:c r="L558" t="str">
        <x:f>IF(K558="","",A558-K558)</x:f>
      </x:c>
      <x:c r="M558" t="str">
        <x:f>IF(L558="","",IF(N558="Yes","Strategic Legacy",IF(L558&lt;=90,"Active",IF(L558&lt;=180,"Monitor",IF(L558&lt;=365,"Slow-Moving",IF(L558&lt;=730,"Excess","Obsolete"))))))</x:f>
      </x:c>
    </x:row>
    <x:row r="559">
      <x:c r="A559" s="40"/>
      <x:c r="I559" s="42"/>
      <x:c r="J559" s="42" t="str">
        <x:f>IF(OR(H559="",I559=""),"",H559*I559)</x:f>
      </x:c>
      <x:c r="K559" s="40"/>
      <x:c r="L559" t="str">
        <x:f>IF(K559="","",A559-K559)</x:f>
      </x:c>
      <x:c r="M559" t="str">
        <x:f>IF(L559="","",IF(N559="Yes","Strategic Legacy",IF(L559&lt;=90,"Active",IF(L559&lt;=180,"Monitor",IF(L559&lt;=365,"Slow-Moving",IF(L559&lt;=730,"Excess","Obsolete"))))))</x:f>
      </x:c>
    </x:row>
    <x:row r="560">
      <x:c r="A560" s="40"/>
      <x:c r="I560" s="42"/>
      <x:c r="J560" s="42" t="str">
        <x:f>IF(OR(H560="",I560=""),"",H560*I560)</x:f>
      </x:c>
      <x:c r="K560" s="40"/>
      <x:c r="L560" t="str">
        <x:f>IF(K560="","",A560-K560)</x:f>
      </x:c>
      <x:c r="M560" t="str">
        <x:f>IF(L560="","",IF(N560="Yes","Strategic Legacy",IF(L560&lt;=90,"Active",IF(L560&lt;=180,"Monitor",IF(L560&lt;=365,"Slow-Moving",IF(L560&lt;=730,"Excess","Obsolete"))))))</x:f>
      </x:c>
    </x:row>
    <x:row r="561">
      <x:c r="A561" s="40"/>
      <x:c r="I561" s="42"/>
      <x:c r="J561" s="42" t="str">
        <x:f>IF(OR(H561="",I561=""),"",H561*I561)</x:f>
      </x:c>
      <x:c r="K561" s="40"/>
      <x:c r="L561" t="str">
        <x:f>IF(K561="","",A561-K561)</x:f>
      </x:c>
      <x:c r="M561" t="str">
        <x:f>IF(L561="","",IF(N561="Yes","Strategic Legacy",IF(L561&lt;=90,"Active",IF(L561&lt;=180,"Monitor",IF(L561&lt;=365,"Slow-Moving",IF(L561&lt;=730,"Excess","Obsolete"))))))</x:f>
      </x:c>
    </x:row>
    <x:row r="562">
      <x:c r="A562" s="40"/>
      <x:c r="I562" s="42"/>
      <x:c r="J562" s="42" t="str">
        <x:f>IF(OR(H562="",I562=""),"",H562*I562)</x:f>
      </x:c>
      <x:c r="K562" s="40"/>
      <x:c r="L562" t="str">
        <x:f>IF(K562="","",A562-K562)</x:f>
      </x:c>
      <x:c r="M562" t="str">
        <x:f>IF(L562="","",IF(N562="Yes","Strategic Legacy",IF(L562&lt;=90,"Active",IF(L562&lt;=180,"Monitor",IF(L562&lt;=365,"Slow-Moving",IF(L562&lt;=730,"Excess","Obsolete"))))))</x:f>
      </x:c>
    </x:row>
    <x:row r="563">
      <x:c r="A563" s="40"/>
      <x:c r="I563" s="42"/>
      <x:c r="J563" s="42" t="str">
        <x:f>IF(OR(H563="",I563=""),"",H563*I563)</x:f>
      </x:c>
      <x:c r="K563" s="40"/>
      <x:c r="L563" t="str">
        <x:f>IF(K563="","",A563-K563)</x:f>
      </x:c>
      <x:c r="M563" t="str">
        <x:f>IF(L563="","",IF(N563="Yes","Strategic Legacy",IF(L563&lt;=90,"Active",IF(L563&lt;=180,"Monitor",IF(L563&lt;=365,"Slow-Moving",IF(L563&lt;=730,"Excess","Obsolete"))))))</x:f>
      </x:c>
    </x:row>
    <x:row r="564">
      <x:c r="A564" s="40"/>
      <x:c r="I564" s="42"/>
      <x:c r="J564" s="42" t="str">
        <x:f>IF(OR(H564="",I564=""),"",H564*I564)</x:f>
      </x:c>
      <x:c r="K564" s="40"/>
      <x:c r="L564" t="str">
        <x:f>IF(K564="","",A564-K564)</x:f>
      </x:c>
      <x:c r="M564" t="str">
        <x:f>IF(L564="","",IF(N564="Yes","Strategic Legacy",IF(L564&lt;=90,"Active",IF(L564&lt;=180,"Monitor",IF(L564&lt;=365,"Slow-Moving",IF(L564&lt;=730,"Excess","Obsolete"))))))</x:f>
      </x:c>
    </x:row>
    <x:row r="565">
      <x:c r="A565" s="40"/>
      <x:c r="I565" s="42"/>
      <x:c r="J565" s="42" t="str">
        <x:f>IF(OR(H565="",I565=""),"",H565*I565)</x:f>
      </x:c>
      <x:c r="K565" s="40"/>
      <x:c r="L565" t="str">
        <x:f>IF(K565="","",A565-K565)</x:f>
      </x:c>
      <x:c r="M565" t="str">
        <x:f>IF(L565="","",IF(N565="Yes","Strategic Legacy",IF(L565&lt;=90,"Active",IF(L565&lt;=180,"Monitor",IF(L565&lt;=365,"Slow-Moving",IF(L565&lt;=730,"Excess","Obsolete"))))))</x:f>
      </x:c>
    </x:row>
    <x:row r="566">
      <x:c r="A566" s="40"/>
      <x:c r="I566" s="42"/>
      <x:c r="J566" s="42" t="str">
        <x:f>IF(OR(H566="",I566=""),"",H566*I566)</x:f>
      </x:c>
      <x:c r="K566" s="40"/>
      <x:c r="L566" t="str">
        <x:f>IF(K566="","",A566-K566)</x:f>
      </x:c>
      <x:c r="M566" t="str">
        <x:f>IF(L566="","",IF(N566="Yes","Strategic Legacy",IF(L566&lt;=90,"Active",IF(L566&lt;=180,"Monitor",IF(L566&lt;=365,"Slow-Moving",IF(L566&lt;=730,"Excess","Obsolete"))))))</x:f>
      </x:c>
    </x:row>
    <x:row r="567">
      <x:c r="A567" s="40"/>
      <x:c r="I567" s="42"/>
      <x:c r="J567" s="42" t="str">
        <x:f>IF(OR(H567="",I567=""),"",H567*I567)</x:f>
      </x:c>
      <x:c r="K567" s="40"/>
      <x:c r="L567" t="str">
        <x:f>IF(K567="","",A567-K567)</x:f>
      </x:c>
      <x:c r="M567" t="str">
        <x:f>IF(L567="","",IF(N567="Yes","Strategic Legacy",IF(L567&lt;=90,"Active",IF(L567&lt;=180,"Monitor",IF(L567&lt;=365,"Slow-Moving",IF(L567&lt;=730,"Excess","Obsolete"))))))</x:f>
      </x:c>
    </x:row>
    <x:row r="568">
      <x:c r="A568" s="40"/>
      <x:c r="I568" s="42"/>
      <x:c r="J568" s="42" t="str">
        <x:f>IF(OR(H568="",I568=""),"",H568*I568)</x:f>
      </x:c>
      <x:c r="K568" s="40"/>
      <x:c r="L568" t="str">
        <x:f>IF(K568="","",A568-K568)</x:f>
      </x:c>
      <x:c r="M568" t="str">
        <x:f>IF(L568="","",IF(N568="Yes","Strategic Legacy",IF(L568&lt;=90,"Active",IF(L568&lt;=180,"Monitor",IF(L568&lt;=365,"Slow-Moving",IF(L568&lt;=730,"Excess","Obsolete"))))))</x:f>
      </x:c>
    </x:row>
    <x:row r="569">
      <x:c r="A569" s="40"/>
      <x:c r="I569" s="42"/>
      <x:c r="J569" s="42" t="str">
        <x:f>IF(OR(H569="",I569=""),"",H569*I569)</x:f>
      </x:c>
      <x:c r="K569" s="40"/>
      <x:c r="L569" t="str">
        <x:f>IF(K569="","",A569-K569)</x:f>
      </x:c>
      <x:c r="M569" t="str">
        <x:f>IF(L569="","",IF(N569="Yes","Strategic Legacy",IF(L569&lt;=90,"Active",IF(L569&lt;=180,"Monitor",IF(L569&lt;=365,"Slow-Moving",IF(L569&lt;=730,"Excess","Obsolete"))))))</x:f>
      </x:c>
    </x:row>
    <x:row r="570">
      <x:c r="A570" s="40"/>
      <x:c r="I570" s="42"/>
      <x:c r="J570" s="42" t="str">
        <x:f>IF(OR(H570="",I570=""),"",H570*I570)</x:f>
      </x:c>
      <x:c r="K570" s="40"/>
      <x:c r="L570" t="str">
        <x:f>IF(K570="","",A570-K570)</x:f>
      </x:c>
      <x:c r="M570" t="str">
        <x:f>IF(L570="","",IF(N570="Yes","Strategic Legacy",IF(L570&lt;=90,"Active",IF(L570&lt;=180,"Monitor",IF(L570&lt;=365,"Slow-Moving",IF(L570&lt;=730,"Excess","Obsolete"))))))</x:f>
      </x:c>
    </x:row>
    <x:row r="571">
      <x:c r="A571" s="40"/>
      <x:c r="I571" s="42"/>
      <x:c r="J571" s="42" t="str">
        <x:f>IF(OR(H571="",I571=""),"",H571*I571)</x:f>
      </x:c>
      <x:c r="K571" s="40"/>
      <x:c r="L571" t="str">
        <x:f>IF(K571="","",A571-K571)</x:f>
      </x:c>
      <x:c r="M571" t="str">
        <x:f>IF(L571="","",IF(N571="Yes","Strategic Legacy",IF(L571&lt;=90,"Active",IF(L571&lt;=180,"Monitor",IF(L571&lt;=365,"Slow-Moving",IF(L571&lt;=730,"Excess","Obsolete"))))))</x:f>
      </x:c>
    </x:row>
    <x:row r="572">
      <x:c r="A572" s="40"/>
      <x:c r="I572" s="42"/>
      <x:c r="J572" s="42" t="str">
        <x:f>IF(OR(H572="",I572=""),"",H572*I572)</x:f>
      </x:c>
      <x:c r="K572" s="40"/>
      <x:c r="L572" t="str">
        <x:f>IF(K572="","",A572-K572)</x:f>
      </x:c>
      <x:c r="M572" t="str">
        <x:f>IF(L572="","",IF(N572="Yes","Strategic Legacy",IF(L572&lt;=90,"Active",IF(L572&lt;=180,"Monitor",IF(L572&lt;=365,"Slow-Moving",IF(L572&lt;=730,"Excess","Obsolete"))))))</x:f>
      </x:c>
    </x:row>
    <x:row r="573">
      <x:c r="A573" s="40"/>
      <x:c r="I573" s="42"/>
      <x:c r="J573" s="42" t="str">
        <x:f>IF(OR(H573="",I573=""),"",H573*I573)</x:f>
      </x:c>
      <x:c r="K573" s="40"/>
      <x:c r="L573" t="str">
        <x:f>IF(K573="","",A573-K573)</x:f>
      </x:c>
      <x:c r="M573" t="str">
        <x:f>IF(L573="","",IF(N573="Yes","Strategic Legacy",IF(L573&lt;=90,"Active",IF(L573&lt;=180,"Monitor",IF(L573&lt;=365,"Slow-Moving",IF(L573&lt;=730,"Excess","Obsolete"))))))</x:f>
      </x:c>
    </x:row>
    <x:row r="574">
      <x:c r="A574" s="40"/>
      <x:c r="I574" s="42"/>
      <x:c r="J574" s="42" t="str">
        <x:f>IF(OR(H574="",I574=""),"",H574*I574)</x:f>
      </x:c>
      <x:c r="K574" s="40"/>
      <x:c r="L574" t="str">
        <x:f>IF(K574="","",A574-K574)</x:f>
      </x:c>
      <x:c r="M574" t="str">
        <x:f>IF(L574="","",IF(N574="Yes","Strategic Legacy",IF(L574&lt;=90,"Active",IF(L574&lt;=180,"Monitor",IF(L574&lt;=365,"Slow-Moving",IF(L574&lt;=730,"Excess","Obsolete"))))))</x:f>
      </x:c>
    </x:row>
    <x:row r="575">
      <x:c r="A575" s="40"/>
      <x:c r="I575" s="42"/>
      <x:c r="J575" s="42" t="str">
        <x:f>IF(OR(H575="",I575=""),"",H575*I575)</x:f>
      </x:c>
      <x:c r="K575" s="40"/>
      <x:c r="L575" t="str">
        <x:f>IF(K575="","",A575-K575)</x:f>
      </x:c>
      <x:c r="M575" t="str">
        <x:f>IF(L575="","",IF(N575="Yes","Strategic Legacy",IF(L575&lt;=90,"Active",IF(L575&lt;=180,"Monitor",IF(L575&lt;=365,"Slow-Moving",IF(L575&lt;=730,"Excess","Obsolete"))))))</x:f>
      </x:c>
    </x:row>
    <x:row r="576">
      <x:c r="A576" s="40"/>
      <x:c r="I576" s="42"/>
      <x:c r="J576" s="42" t="str">
        <x:f>IF(OR(H576="",I576=""),"",H576*I576)</x:f>
      </x:c>
      <x:c r="K576" s="40"/>
      <x:c r="L576" t="str">
        <x:f>IF(K576="","",A576-K576)</x:f>
      </x:c>
      <x:c r="M576" t="str">
        <x:f>IF(L576="","",IF(N576="Yes","Strategic Legacy",IF(L576&lt;=90,"Active",IF(L576&lt;=180,"Monitor",IF(L576&lt;=365,"Slow-Moving",IF(L576&lt;=730,"Excess","Obsolete"))))))</x:f>
      </x:c>
    </x:row>
    <x:row r="577">
      <x:c r="A577" s="40"/>
      <x:c r="I577" s="42"/>
      <x:c r="J577" s="42" t="str">
        <x:f>IF(OR(H577="",I577=""),"",H577*I577)</x:f>
      </x:c>
      <x:c r="K577" s="40"/>
      <x:c r="L577" t="str">
        <x:f>IF(K577="","",A577-K577)</x:f>
      </x:c>
      <x:c r="M577" t="str">
        <x:f>IF(L577="","",IF(N577="Yes","Strategic Legacy",IF(L577&lt;=90,"Active",IF(L577&lt;=180,"Monitor",IF(L577&lt;=365,"Slow-Moving",IF(L577&lt;=730,"Excess","Obsolete"))))))</x:f>
      </x:c>
    </x:row>
    <x:row r="578">
      <x:c r="A578" s="40"/>
      <x:c r="I578" s="42"/>
      <x:c r="J578" s="42" t="str">
        <x:f>IF(OR(H578="",I578=""),"",H578*I578)</x:f>
      </x:c>
      <x:c r="K578" s="40"/>
      <x:c r="L578" t="str">
        <x:f>IF(K578="","",A578-K578)</x:f>
      </x:c>
      <x:c r="M578" t="str">
        <x:f>IF(L578="","",IF(N578="Yes","Strategic Legacy",IF(L578&lt;=90,"Active",IF(L578&lt;=180,"Monitor",IF(L578&lt;=365,"Slow-Moving",IF(L578&lt;=730,"Excess","Obsolete"))))))</x:f>
      </x:c>
    </x:row>
    <x:row r="579">
      <x:c r="A579" s="40"/>
      <x:c r="I579" s="42"/>
      <x:c r="J579" s="42" t="str">
        <x:f>IF(OR(H579="",I579=""),"",H579*I579)</x:f>
      </x:c>
      <x:c r="K579" s="40"/>
      <x:c r="L579" t="str">
        <x:f>IF(K579="","",A579-K579)</x:f>
      </x:c>
      <x:c r="M579" t="str">
        <x:f>IF(L579="","",IF(N579="Yes","Strategic Legacy",IF(L579&lt;=90,"Active",IF(L579&lt;=180,"Monitor",IF(L579&lt;=365,"Slow-Moving",IF(L579&lt;=730,"Excess","Obsolete"))))))</x:f>
      </x:c>
    </x:row>
    <x:row r="580">
      <x:c r="A580" s="40"/>
      <x:c r="I580" s="42"/>
      <x:c r="J580" s="42" t="str">
        <x:f>IF(OR(H580="",I580=""),"",H580*I580)</x:f>
      </x:c>
      <x:c r="K580" s="40"/>
      <x:c r="L580" t="str">
        <x:f>IF(K580="","",A580-K580)</x:f>
      </x:c>
      <x:c r="M580" t="str">
        <x:f>IF(L580="","",IF(N580="Yes","Strategic Legacy",IF(L580&lt;=90,"Active",IF(L580&lt;=180,"Monitor",IF(L580&lt;=365,"Slow-Moving",IF(L580&lt;=730,"Excess","Obsolete"))))))</x:f>
      </x:c>
    </x:row>
    <x:row r="581">
      <x:c r="A581" s="40"/>
      <x:c r="I581" s="42"/>
      <x:c r="J581" s="42" t="str">
        <x:f>IF(OR(H581="",I581=""),"",H581*I581)</x:f>
      </x:c>
      <x:c r="K581" s="40"/>
      <x:c r="L581" t="str">
        <x:f>IF(K581="","",A581-K581)</x:f>
      </x:c>
      <x:c r="M581" t="str">
        <x:f>IF(L581="","",IF(N581="Yes","Strategic Legacy",IF(L581&lt;=90,"Active",IF(L581&lt;=180,"Monitor",IF(L581&lt;=365,"Slow-Moving",IF(L581&lt;=730,"Excess","Obsolete"))))))</x:f>
      </x:c>
    </x:row>
    <x:row r="582">
      <x:c r="A582" s="40"/>
      <x:c r="I582" s="42"/>
      <x:c r="J582" s="42" t="str">
        <x:f>IF(OR(H582="",I582=""),"",H582*I582)</x:f>
      </x:c>
      <x:c r="K582" s="40"/>
      <x:c r="L582" t="str">
        <x:f>IF(K582="","",A582-K582)</x:f>
      </x:c>
      <x:c r="M582" t="str">
        <x:f>IF(L582="","",IF(N582="Yes","Strategic Legacy",IF(L582&lt;=90,"Active",IF(L582&lt;=180,"Monitor",IF(L582&lt;=365,"Slow-Moving",IF(L582&lt;=730,"Excess","Obsolete"))))))</x:f>
      </x:c>
    </x:row>
    <x:row r="583">
      <x:c r="A583" s="40"/>
      <x:c r="I583" s="42"/>
      <x:c r="J583" s="42" t="str">
        <x:f>IF(OR(H583="",I583=""),"",H583*I583)</x:f>
      </x:c>
      <x:c r="K583" s="40"/>
      <x:c r="L583" t="str">
        <x:f>IF(K583="","",A583-K583)</x:f>
      </x:c>
      <x:c r="M583" t="str">
        <x:f>IF(L583="","",IF(N583="Yes","Strategic Legacy",IF(L583&lt;=90,"Active",IF(L583&lt;=180,"Monitor",IF(L583&lt;=365,"Slow-Moving",IF(L583&lt;=730,"Excess","Obsolete"))))))</x:f>
      </x:c>
    </x:row>
    <x:row r="584">
      <x:c r="A584" s="40"/>
      <x:c r="I584" s="42"/>
      <x:c r="J584" s="42" t="str">
        <x:f>IF(OR(H584="",I584=""),"",H584*I584)</x:f>
      </x:c>
      <x:c r="K584" s="40"/>
      <x:c r="L584" t="str">
        <x:f>IF(K584="","",A584-K584)</x:f>
      </x:c>
      <x:c r="M584" t="str">
        <x:f>IF(L584="","",IF(N584="Yes","Strategic Legacy",IF(L584&lt;=90,"Active",IF(L584&lt;=180,"Monitor",IF(L584&lt;=365,"Slow-Moving",IF(L584&lt;=730,"Excess","Obsolete"))))))</x:f>
      </x:c>
    </x:row>
    <x:row r="585">
      <x:c r="A585" s="40"/>
      <x:c r="I585" s="42"/>
      <x:c r="J585" s="42" t="str">
        <x:f>IF(OR(H585="",I585=""),"",H585*I585)</x:f>
      </x:c>
      <x:c r="K585" s="40"/>
      <x:c r="L585" t="str">
        <x:f>IF(K585="","",A585-K585)</x:f>
      </x:c>
      <x:c r="M585" t="str">
        <x:f>IF(L585="","",IF(N585="Yes","Strategic Legacy",IF(L585&lt;=90,"Active",IF(L585&lt;=180,"Monitor",IF(L585&lt;=365,"Slow-Moving",IF(L585&lt;=730,"Excess","Obsolete"))))))</x:f>
      </x:c>
    </x:row>
    <x:row r="586">
      <x:c r="A586" s="40"/>
      <x:c r="I586" s="42"/>
      <x:c r="J586" s="42" t="str">
        <x:f>IF(OR(H586="",I586=""),"",H586*I586)</x:f>
      </x:c>
      <x:c r="K586" s="40"/>
      <x:c r="L586" t="str">
        <x:f>IF(K586="","",A586-K586)</x:f>
      </x:c>
      <x:c r="M586" t="str">
        <x:f>IF(L586="","",IF(N586="Yes","Strategic Legacy",IF(L586&lt;=90,"Active",IF(L586&lt;=180,"Monitor",IF(L586&lt;=365,"Slow-Moving",IF(L586&lt;=730,"Excess","Obsolete"))))))</x:f>
      </x:c>
    </x:row>
    <x:row r="587">
      <x:c r="A587" s="40"/>
      <x:c r="I587" s="42"/>
      <x:c r="J587" s="42" t="str">
        <x:f>IF(OR(H587="",I587=""),"",H587*I587)</x:f>
      </x:c>
      <x:c r="K587" s="40"/>
      <x:c r="L587" t="str">
        <x:f>IF(K587="","",A587-K587)</x:f>
      </x:c>
      <x:c r="M587" t="str">
        <x:f>IF(L587="","",IF(N587="Yes","Strategic Legacy",IF(L587&lt;=90,"Active",IF(L587&lt;=180,"Monitor",IF(L587&lt;=365,"Slow-Moving",IF(L587&lt;=730,"Excess","Obsolete"))))))</x:f>
      </x:c>
    </x:row>
    <x:row r="588">
      <x:c r="A588" s="40"/>
      <x:c r="I588" s="42"/>
      <x:c r="J588" s="42" t="str">
        <x:f>IF(OR(H588="",I588=""),"",H588*I588)</x:f>
      </x:c>
      <x:c r="K588" s="40"/>
      <x:c r="L588" t="str">
        <x:f>IF(K588="","",A588-K588)</x:f>
      </x:c>
      <x:c r="M588" t="str">
        <x:f>IF(L588="","",IF(N588="Yes","Strategic Legacy",IF(L588&lt;=90,"Active",IF(L588&lt;=180,"Monitor",IF(L588&lt;=365,"Slow-Moving",IF(L588&lt;=730,"Excess","Obsolete"))))))</x:f>
      </x:c>
    </x:row>
    <x:row r="589">
      <x:c r="A589" s="40"/>
      <x:c r="I589" s="42"/>
      <x:c r="J589" s="42" t="str">
        <x:f>IF(OR(H589="",I589=""),"",H589*I589)</x:f>
      </x:c>
      <x:c r="K589" s="40"/>
      <x:c r="L589" t="str">
        <x:f>IF(K589="","",A589-K589)</x:f>
      </x:c>
      <x:c r="M589" t="str">
        <x:f>IF(L589="","",IF(N589="Yes","Strategic Legacy",IF(L589&lt;=90,"Active",IF(L589&lt;=180,"Monitor",IF(L589&lt;=365,"Slow-Moving",IF(L589&lt;=730,"Excess","Obsolete"))))))</x:f>
      </x:c>
    </x:row>
    <x:row r="590">
      <x:c r="A590" s="40"/>
      <x:c r="I590" s="42"/>
      <x:c r="J590" s="42" t="str">
        <x:f>IF(OR(H590="",I590=""),"",H590*I590)</x:f>
      </x:c>
      <x:c r="K590" s="40"/>
      <x:c r="L590" t="str">
        <x:f>IF(K590="","",A590-K590)</x:f>
      </x:c>
      <x:c r="M590" t="str">
        <x:f>IF(L590="","",IF(N590="Yes","Strategic Legacy",IF(L590&lt;=90,"Active",IF(L590&lt;=180,"Monitor",IF(L590&lt;=365,"Slow-Moving",IF(L590&lt;=730,"Excess","Obsolete"))))))</x:f>
      </x:c>
    </x:row>
    <x:row r="591">
      <x:c r="A591" s="40"/>
      <x:c r="I591" s="42"/>
      <x:c r="J591" s="42" t="str">
        <x:f>IF(OR(H591="",I591=""),"",H591*I591)</x:f>
      </x:c>
      <x:c r="K591" s="40"/>
      <x:c r="L591" t="str">
        <x:f>IF(K591="","",A591-K591)</x:f>
      </x:c>
      <x:c r="M591" t="str">
        <x:f>IF(L591="","",IF(N591="Yes","Strategic Legacy",IF(L591&lt;=90,"Active",IF(L591&lt;=180,"Monitor",IF(L591&lt;=365,"Slow-Moving",IF(L591&lt;=730,"Excess","Obsolete"))))))</x:f>
      </x:c>
    </x:row>
    <x:row r="592">
      <x:c r="A592" s="40"/>
      <x:c r="I592" s="42"/>
      <x:c r="J592" s="42" t="str">
        <x:f>IF(OR(H592="",I592=""),"",H592*I592)</x:f>
      </x:c>
      <x:c r="K592" s="40"/>
      <x:c r="L592" t="str">
        <x:f>IF(K592="","",A592-K592)</x:f>
      </x:c>
      <x:c r="M592" t="str">
        <x:f>IF(L592="","",IF(N592="Yes","Strategic Legacy",IF(L592&lt;=90,"Active",IF(L592&lt;=180,"Monitor",IF(L592&lt;=365,"Slow-Moving",IF(L592&lt;=730,"Excess","Obsolete"))))))</x:f>
      </x:c>
    </x:row>
    <x:row r="593">
      <x:c r="A593" s="40"/>
      <x:c r="I593" s="42"/>
      <x:c r="J593" s="42" t="str">
        <x:f>IF(OR(H593="",I593=""),"",H593*I593)</x:f>
      </x:c>
      <x:c r="K593" s="40"/>
      <x:c r="L593" t="str">
        <x:f>IF(K593="","",A593-K593)</x:f>
      </x:c>
      <x:c r="M593" t="str">
        <x:f>IF(L593="","",IF(N593="Yes","Strategic Legacy",IF(L593&lt;=90,"Active",IF(L593&lt;=180,"Monitor",IF(L593&lt;=365,"Slow-Moving",IF(L593&lt;=730,"Excess","Obsolete"))))))</x:f>
      </x:c>
    </x:row>
    <x:row r="594">
      <x:c r="A594" s="40"/>
      <x:c r="I594" s="42"/>
      <x:c r="J594" s="42" t="str">
        <x:f>IF(OR(H594="",I594=""),"",H594*I594)</x:f>
      </x:c>
      <x:c r="K594" s="40"/>
      <x:c r="L594" t="str">
        <x:f>IF(K594="","",A594-K594)</x:f>
      </x:c>
      <x:c r="M594" t="str">
        <x:f>IF(L594="","",IF(N594="Yes","Strategic Legacy",IF(L594&lt;=90,"Active",IF(L594&lt;=180,"Monitor",IF(L594&lt;=365,"Slow-Moving",IF(L594&lt;=730,"Excess","Obsolete"))))))</x:f>
      </x:c>
    </x:row>
    <x:row r="595">
      <x:c r="A595" s="40"/>
      <x:c r="I595" s="42"/>
      <x:c r="J595" s="42" t="str">
        <x:f>IF(OR(H595="",I595=""),"",H595*I595)</x:f>
      </x:c>
      <x:c r="K595" s="40"/>
      <x:c r="L595" t="str">
        <x:f>IF(K595="","",A595-K595)</x:f>
      </x:c>
      <x:c r="M595" t="str">
        <x:f>IF(L595="","",IF(N595="Yes","Strategic Legacy",IF(L595&lt;=90,"Active",IF(L595&lt;=180,"Monitor",IF(L595&lt;=365,"Slow-Moving",IF(L595&lt;=730,"Excess","Obsolete"))))))</x:f>
      </x:c>
    </x:row>
    <x:row r="596">
      <x:c r="A596" s="40"/>
      <x:c r="I596" s="42"/>
      <x:c r="J596" s="42" t="str">
        <x:f>IF(OR(H596="",I596=""),"",H596*I596)</x:f>
      </x:c>
      <x:c r="K596" s="40"/>
      <x:c r="L596" t="str">
        <x:f>IF(K596="","",A596-K596)</x:f>
      </x:c>
      <x:c r="M596" t="str">
        <x:f>IF(L596="","",IF(N596="Yes","Strategic Legacy",IF(L596&lt;=90,"Active",IF(L596&lt;=180,"Monitor",IF(L596&lt;=365,"Slow-Moving",IF(L596&lt;=730,"Excess","Obsolete"))))))</x:f>
      </x:c>
    </x:row>
    <x:row r="597">
      <x:c r="A597" s="40"/>
      <x:c r="I597" s="42"/>
      <x:c r="J597" s="42" t="str">
        <x:f>IF(OR(H597="",I597=""),"",H597*I597)</x:f>
      </x:c>
      <x:c r="K597" s="40"/>
      <x:c r="L597" t="str">
        <x:f>IF(K597="","",A597-K597)</x:f>
      </x:c>
      <x:c r="M597" t="str">
        <x:f>IF(L597="","",IF(N597="Yes","Strategic Legacy",IF(L597&lt;=90,"Active",IF(L597&lt;=180,"Monitor",IF(L597&lt;=365,"Slow-Moving",IF(L597&lt;=730,"Excess","Obsolete"))))))</x:f>
      </x:c>
    </x:row>
    <x:row r="598">
      <x:c r="A598" s="40"/>
      <x:c r="I598" s="42"/>
      <x:c r="J598" s="42" t="str">
        <x:f>IF(OR(H598="",I598=""),"",H598*I598)</x:f>
      </x:c>
      <x:c r="K598" s="40"/>
      <x:c r="L598" t="str">
        <x:f>IF(K598="","",A598-K598)</x:f>
      </x:c>
      <x:c r="M598" t="str">
        <x:f>IF(L598="","",IF(N598="Yes","Strategic Legacy",IF(L598&lt;=90,"Active",IF(L598&lt;=180,"Monitor",IF(L598&lt;=365,"Slow-Moving",IF(L598&lt;=730,"Excess","Obsolete"))))))</x:f>
      </x:c>
    </x:row>
    <x:row r="599">
      <x:c r="A599" s="40"/>
      <x:c r="I599" s="42"/>
      <x:c r="J599" s="42" t="str">
        <x:f>IF(OR(H599="",I599=""),"",H599*I599)</x:f>
      </x:c>
      <x:c r="K599" s="40"/>
      <x:c r="L599" t="str">
        <x:f>IF(K599="","",A599-K599)</x:f>
      </x:c>
      <x:c r="M599" t="str">
        <x:f>IF(L599="","",IF(N599="Yes","Strategic Legacy",IF(L599&lt;=90,"Active",IF(L599&lt;=180,"Monitor",IF(L599&lt;=365,"Slow-Moving",IF(L599&lt;=730,"Excess","Obsolete"))))))</x:f>
      </x:c>
    </x:row>
    <x:row r="600">
      <x:c r="A600" s="40"/>
      <x:c r="I600" s="42"/>
      <x:c r="J600" s="42" t="str">
        <x:f>IF(OR(H600="",I600=""),"",H600*I600)</x:f>
      </x:c>
      <x:c r="K600" s="40"/>
      <x:c r="L600" t="str">
        <x:f>IF(K600="","",A600-K600)</x:f>
      </x:c>
      <x:c r="M600" t="str">
        <x:f>IF(L600="","",IF(N600="Yes","Strategic Legacy",IF(L600&lt;=90,"Active",IF(L600&lt;=180,"Monitor",IF(L600&lt;=365,"Slow-Moving",IF(L600&lt;=730,"Excess","Obsolete"))))))</x:f>
      </x:c>
    </x:row>
    <x:row r="601">
      <x:c r="A601" s="40"/>
      <x:c r="I601" s="42"/>
      <x:c r="J601" s="42" t="str">
        <x:f>IF(OR(H601="",I601=""),"",H601*I601)</x:f>
      </x:c>
      <x:c r="K601" s="40"/>
      <x:c r="L601" t="str">
        <x:f>IF(K601="","",A601-K601)</x:f>
      </x:c>
      <x:c r="M601" t="str">
        <x:f>IF(L601="","",IF(N601="Yes","Strategic Legacy",IF(L601&lt;=90,"Active",IF(L601&lt;=180,"Monitor",IF(L601&lt;=365,"Slow-Moving",IF(L601&lt;=730,"Excess","Obsolete"))))))</x:f>
      </x:c>
    </x:row>
    <x:row r="602">
      <x:c r="A602" s="40"/>
      <x:c r="I602" s="42"/>
      <x:c r="J602" s="42" t="str">
        <x:f>IF(OR(H602="",I602=""),"",H602*I602)</x:f>
      </x:c>
      <x:c r="K602" s="40"/>
      <x:c r="L602" t="str">
        <x:f>IF(K602="","",A602-K602)</x:f>
      </x:c>
      <x:c r="M602" t="str">
        <x:f>IF(L602="","",IF(N602="Yes","Strategic Legacy",IF(L602&lt;=90,"Active",IF(L602&lt;=180,"Monitor",IF(L602&lt;=365,"Slow-Moving",IF(L602&lt;=730,"Excess","Obsolete"))))))</x:f>
      </x:c>
    </x:row>
    <x:row r="603">
      <x:c r="A603" s="40"/>
      <x:c r="I603" s="42"/>
      <x:c r="J603" s="42" t="str">
        <x:f>IF(OR(H603="",I603=""),"",H603*I603)</x:f>
      </x:c>
      <x:c r="K603" s="40"/>
      <x:c r="L603" t="str">
        <x:f>IF(K603="","",A603-K603)</x:f>
      </x:c>
      <x:c r="M603" t="str">
        <x:f>IF(L603="","",IF(N603="Yes","Strategic Legacy",IF(L603&lt;=90,"Active",IF(L603&lt;=180,"Monitor",IF(L603&lt;=365,"Slow-Moving",IF(L603&lt;=730,"Excess","Obsolete"))))))</x:f>
      </x:c>
    </x:row>
    <x:row r="604">
      <x:c r="A604" s="40"/>
      <x:c r="I604" s="42"/>
      <x:c r="J604" s="42" t="str">
        <x:f>IF(OR(H604="",I604=""),"",H604*I604)</x:f>
      </x:c>
      <x:c r="K604" s="40"/>
      <x:c r="L604" t="str">
        <x:f>IF(K604="","",A604-K604)</x:f>
      </x:c>
      <x:c r="M604" t="str">
        <x:f>IF(L604="","",IF(N604="Yes","Strategic Legacy",IF(L604&lt;=90,"Active",IF(L604&lt;=180,"Monitor",IF(L604&lt;=365,"Slow-Moving",IF(L604&lt;=730,"Excess","Obsolete"))))))</x:f>
      </x:c>
    </x:row>
    <x:row r="605">
      <x:c r="A605" s="40"/>
      <x:c r="I605" s="42"/>
      <x:c r="J605" s="42" t="str">
        <x:f>IF(OR(H605="",I605=""),"",H605*I605)</x:f>
      </x:c>
      <x:c r="K605" s="40"/>
      <x:c r="L605" t="str">
        <x:f>IF(K605="","",A605-K605)</x:f>
      </x:c>
      <x:c r="M605" t="str">
        <x:f>IF(L605="","",IF(N605="Yes","Strategic Legacy",IF(L605&lt;=90,"Active",IF(L605&lt;=180,"Monitor",IF(L605&lt;=365,"Slow-Moving",IF(L605&lt;=730,"Excess","Obsolete"))))))</x:f>
      </x:c>
    </x:row>
    <x:row r="606">
      <x:c r="A606" s="40"/>
      <x:c r="I606" s="42"/>
      <x:c r="J606" s="42" t="str">
        <x:f>IF(OR(H606="",I606=""),"",H606*I606)</x:f>
      </x:c>
      <x:c r="K606" s="40"/>
      <x:c r="L606" t="str">
        <x:f>IF(K606="","",A606-K606)</x:f>
      </x:c>
      <x:c r="M606" t="str">
        <x:f>IF(L606="","",IF(N606="Yes","Strategic Legacy",IF(L606&lt;=90,"Active",IF(L606&lt;=180,"Monitor",IF(L606&lt;=365,"Slow-Moving",IF(L606&lt;=730,"Excess","Obsolete"))))))</x:f>
      </x:c>
    </x:row>
    <x:row r="607">
      <x:c r="A607" s="40"/>
      <x:c r="I607" s="42"/>
      <x:c r="J607" s="42" t="str">
        <x:f>IF(OR(H607="",I607=""),"",H607*I607)</x:f>
      </x:c>
      <x:c r="K607" s="40"/>
      <x:c r="L607" t="str">
        <x:f>IF(K607="","",A607-K607)</x:f>
      </x:c>
      <x:c r="M607" t="str">
        <x:f>IF(L607="","",IF(N607="Yes","Strategic Legacy",IF(L607&lt;=90,"Active",IF(L607&lt;=180,"Monitor",IF(L607&lt;=365,"Slow-Moving",IF(L607&lt;=730,"Excess","Obsolete"))))))</x:f>
      </x:c>
    </x:row>
    <x:row r="608">
      <x:c r="A608" s="40"/>
      <x:c r="I608" s="42"/>
      <x:c r="J608" s="42" t="str">
        <x:f>IF(OR(H608="",I608=""),"",H608*I608)</x:f>
      </x:c>
      <x:c r="K608" s="40"/>
      <x:c r="L608" t="str">
        <x:f>IF(K608="","",A608-K608)</x:f>
      </x:c>
      <x:c r="M608" t="str">
        <x:f>IF(L608="","",IF(N608="Yes","Strategic Legacy",IF(L608&lt;=90,"Active",IF(L608&lt;=180,"Monitor",IF(L608&lt;=365,"Slow-Moving",IF(L608&lt;=730,"Excess","Obsolete"))))))</x:f>
      </x:c>
    </x:row>
    <x:row r="609">
      <x:c r="A609" s="40"/>
      <x:c r="I609" s="42"/>
      <x:c r="J609" s="42" t="str">
        <x:f>IF(OR(H609="",I609=""),"",H609*I609)</x:f>
      </x:c>
      <x:c r="K609" s="40"/>
      <x:c r="L609" t="str">
        <x:f>IF(K609="","",A609-K609)</x:f>
      </x:c>
      <x:c r="M609" t="str">
        <x:f>IF(L609="","",IF(N609="Yes","Strategic Legacy",IF(L609&lt;=90,"Active",IF(L609&lt;=180,"Monitor",IF(L609&lt;=365,"Slow-Moving",IF(L609&lt;=730,"Excess","Obsolete"))))))</x:f>
      </x:c>
    </x:row>
    <x:row r="610">
      <x:c r="A610" s="40"/>
      <x:c r="I610" s="42"/>
      <x:c r="J610" s="42" t="str">
        <x:f>IF(OR(H610="",I610=""),"",H610*I610)</x:f>
      </x:c>
      <x:c r="K610" s="40"/>
      <x:c r="L610" t="str">
        <x:f>IF(K610="","",A610-K610)</x:f>
      </x:c>
      <x:c r="M610" t="str">
        <x:f>IF(L610="","",IF(N610="Yes","Strategic Legacy",IF(L610&lt;=90,"Active",IF(L610&lt;=180,"Monitor",IF(L610&lt;=365,"Slow-Moving",IF(L610&lt;=730,"Excess","Obsolete"))))))</x:f>
      </x:c>
    </x:row>
    <x:row r="611">
      <x:c r="A611" s="40"/>
      <x:c r="I611" s="42"/>
      <x:c r="J611" s="42" t="str">
        <x:f>IF(OR(H611="",I611=""),"",H611*I611)</x:f>
      </x:c>
      <x:c r="K611" s="40"/>
      <x:c r="L611" t="str">
        <x:f>IF(K611="","",A611-K611)</x:f>
      </x:c>
      <x:c r="M611" t="str">
        <x:f>IF(L611="","",IF(N611="Yes","Strategic Legacy",IF(L611&lt;=90,"Active",IF(L611&lt;=180,"Monitor",IF(L611&lt;=365,"Slow-Moving",IF(L611&lt;=730,"Excess","Obsolete"))))))</x:f>
      </x:c>
    </x:row>
    <x:row r="612">
      <x:c r="A612" s="40"/>
      <x:c r="I612" s="42"/>
      <x:c r="J612" s="42" t="str">
        <x:f>IF(OR(H612="",I612=""),"",H612*I612)</x:f>
      </x:c>
      <x:c r="K612" s="40"/>
      <x:c r="L612" t="str">
        <x:f>IF(K612="","",A612-K612)</x:f>
      </x:c>
      <x:c r="M612" t="str">
        <x:f>IF(L612="","",IF(N612="Yes","Strategic Legacy",IF(L612&lt;=90,"Active",IF(L612&lt;=180,"Monitor",IF(L612&lt;=365,"Slow-Moving",IF(L612&lt;=730,"Excess","Obsolete"))))))</x:f>
      </x:c>
    </x:row>
    <x:row r="613">
      <x:c r="A613" s="40"/>
      <x:c r="I613" s="42"/>
      <x:c r="J613" s="42" t="str">
        <x:f>IF(OR(H613="",I613=""),"",H613*I613)</x:f>
      </x:c>
      <x:c r="K613" s="40"/>
      <x:c r="L613" t="str">
        <x:f>IF(K613="","",A613-K613)</x:f>
      </x:c>
      <x:c r="M613" t="str">
        <x:f>IF(L613="","",IF(N613="Yes","Strategic Legacy",IF(L613&lt;=90,"Active",IF(L613&lt;=180,"Monitor",IF(L613&lt;=365,"Slow-Moving",IF(L613&lt;=730,"Excess","Obsolete"))))))</x:f>
      </x:c>
    </x:row>
    <x:row r="614">
      <x:c r="A614" s="40"/>
      <x:c r="I614" s="42"/>
      <x:c r="J614" s="42" t="str">
        <x:f>IF(OR(H614="",I614=""),"",H614*I614)</x:f>
      </x:c>
      <x:c r="K614" s="40"/>
      <x:c r="L614" t="str">
        <x:f>IF(K614="","",A614-K614)</x:f>
      </x:c>
      <x:c r="M614" t="str">
        <x:f>IF(L614="","",IF(N614="Yes","Strategic Legacy",IF(L614&lt;=90,"Active",IF(L614&lt;=180,"Monitor",IF(L614&lt;=365,"Slow-Moving",IF(L614&lt;=730,"Excess","Obsolete"))))))</x:f>
      </x:c>
    </x:row>
    <x:row r="615">
      <x:c r="A615" s="40"/>
      <x:c r="I615" s="42"/>
      <x:c r="J615" s="42" t="str">
        <x:f>IF(OR(H615="",I615=""),"",H615*I615)</x:f>
      </x:c>
      <x:c r="K615" s="40"/>
      <x:c r="L615" t="str">
        <x:f>IF(K615="","",A615-K615)</x:f>
      </x:c>
      <x:c r="M615" t="str">
        <x:f>IF(L615="","",IF(N615="Yes","Strategic Legacy",IF(L615&lt;=90,"Active",IF(L615&lt;=180,"Monitor",IF(L615&lt;=365,"Slow-Moving",IF(L615&lt;=730,"Excess","Obsolete"))))))</x:f>
      </x:c>
    </x:row>
    <x:row r="616">
      <x:c r="A616" s="40"/>
      <x:c r="I616" s="42"/>
      <x:c r="J616" s="42" t="str">
        <x:f>IF(OR(H616="",I616=""),"",H616*I616)</x:f>
      </x:c>
      <x:c r="K616" s="40"/>
      <x:c r="L616" t="str">
        <x:f>IF(K616="","",A616-K616)</x:f>
      </x:c>
      <x:c r="M616" t="str">
        <x:f>IF(L616="","",IF(N616="Yes","Strategic Legacy",IF(L616&lt;=90,"Active",IF(L616&lt;=180,"Monitor",IF(L616&lt;=365,"Slow-Moving",IF(L616&lt;=730,"Excess","Obsolete"))))))</x:f>
      </x:c>
    </x:row>
    <x:row r="617">
      <x:c r="A617" s="40"/>
      <x:c r="I617" s="42"/>
      <x:c r="J617" s="42" t="str">
        <x:f>IF(OR(H617="",I617=""),"",H617*I617)</x:f>
      </x:c>
      <x:c r="K617" s="40"/>
      <x:c r="L617" t="str">
        <x:f>IF(K617="","",A617-K617)</x:f>
      </x:c>
      <x:c r="M617" t="str">
        <x:f>IF(L617="","",IF(N617="Yes","Strategic Legacy",IF(L617&lt;=90,"Active",IF(L617&lt;=180,"Monitor",IF(L617&lt;=365,"Slow-Moving",IF(L617&lt;=730,"Excess","Obsolete"))))))</x:f>
      </x:c>
    </x:row>
    <x:row r="618">
      <x:c r="A618" s="40"/>
      <x:c r="I618" s="42"/>
      <x:c r="J618" s="42" t="str">
        <x:f>IF(OR(H618="",I618=""),"",H618*I618)</x:f>
      </x:c>
      <x:c r="K618" s="40"/>
      <x:c r="L618" t="str">
        <x:f>IF(K618="","",A618-K618)</x:f>
      </x:c>
      <x:c r="M618" t="str">
        <x:f>IF(L618="","",IF(N618="Yes","Strategic Legacy",IF(L618&lt;=90,"Active",IF(L618&lt;=180,"Monitor",IF(L618&lt;=365,"Slow-Moving",IF(L618&lt;=730,"Excess","Obsolete"))))))</x:f>
      </x:c>
    </x:row>
    <x:row r="619">
      <x:c r="A619" s="40"/>
      <x:c r="I619" s="42"/>
      <x:c r="J619" s="42" t="str">
        <x:f>IF(OR(H619="",I619=""),"",H619*I619)</x:f>
      </x:c>
      <x:c r="K619" s="40"/>
      <x:c r="L619" t="str">
        <x:f>IF(K619="","",A619-K619)</x:f>
      </x:c>
      <x:c r="M619" t="str">
        <x:f>IF(L619="","",IF(N619="Yes","Strategic Legacy",IF(L619&lt;=90,"Active",IF(L619&lt;=180,"Monitor",IF(L619&lt;=365,"Slow-Moving",IF(L619&lt;=730,"Excess","Obsolete"))))))</x:f>
      </x:c>
    </x:row>
    <x:row r="620">
      <x:c r="A620" s="40"/>
      <x:c r="I620" s="42"/>
      <x:c r="J620" s="42" t="str">
        <x:f>IF(OR(H620="",I620=""),"",H620*I620)</x:f>
      </x:c>
      <x:c r="K620" s="40"/>
      <x:c r="L620" t="str">
        <x:f>IF(K620="","",A620-K620)</x:f>
      </x:c>
      <x:c r="M620" t="str">
        <x:f>IF(L620="","",IF(N620="Yes","Strategic Legacy",IF(L620&lt;=90,"Active",IF(L620&lt;=180,"Monitor",IF(L620&lt;=365,"Slow-Moving",IF(L620&lt;=730,"Excess","Obsolete"))))))</x:f>
      </x:c>
    </x:row>
    <x:row r="621">
      <x:c r="A621" s="40"/>
      <x:c r="I621" s="42"/>
      <x:c r="J621" s="42" t="str">
        <x:f>IF(OR(H621="",I621=""),"",H621*I621)</x:f>
      </x:c>
      <x:c r="K621" s="40"/>
      <x:c r="L621" t="str">
        <x:f>IF(K621="","",A621-K621)</x:f>
      </x:c>
      <x:c r="M621" t="str">
        <x:f>IF(L621="","",IF(N621="Yes","Strategic Legacy",IF(L621&lt;=90,"Active",IF(L621&lt;=180,"Monitor",IF(L621&lt;=365,"Slow-Moving",IF(L621&lt;=730,"Excess","Obsolete"))))))</x:f>
      </x:c>
    </x:row>
    <x:row r="622">
      <x:c r="A622" s="40"/>
      <x:c r="I622" s="42"/>
      <x:c r="J622" s="42" t="str">
        <x:f>IF(OR(H622="",I622=""),"",H622*I622)</x:f>
      </x:c>
      <x:c r="K622" s="40"/>
      <x:c r="L622" t="str">
        <x:f>IF(K622="","",A622-K622)</x:f>
      </x:c>
      <x:c r="M622" t="str">
        <x:f>IF(L622="","",IF(N622="Yes","Strategic Legacy",IF(L622&lt;=90,"Active",IF(L622&lt;=180,"Monitor",IF(L622&lt;=365,"Slow-Moving",IF(L622&lt;=730,"Excess","Obsolete"))))))</x:f>
      </x:c>
    </x:row>
    <x:row r="623">
      <x:c r="A623" s="40"/>
      <x:c r="I623" s="42"/>
      <x:c r="J623" s="42" t="str">
        <x:f>IF(OR(H623="",I623=""),"",H623*I623)</x:f>
      </x:c>
      <x:c r="K623" s="40"/>
      <x:c r="L623" t="str">
        <x:f>IF(K623="","",A623-K623)</x:f>
      </x:c>
      <x:c r="M623" t="str">
        <x:f>IF(L623="","",IF(N623="Yes","Strategic Legacy",IF(L623&lt;=90,"Active",IF(L623&lt;=180,"Monitor",IF(L623&lt;=365,"Slow-Moving",IF(L623&lt;=730,"Excess","Obsolete"))))))</x:f>
      </x:c>
    </x:row>
    <x:row r="624">
      <x:c r="A624" s="40"/>
      <x:c r="I624" s="42"/>
      <x:c r="J624" s="42" t="str">
        <x:f>IF(OR(H624="",I624=""),"",H624*I624)</x:f>
      </x:c>
      <x:c r="K624" s="40"/>
      <x:c r="L624" t="str">
        <x:f>IF(K624="","",A624-K624)</x:f>
      </x:c>
      <x:c r="M624" t="str">
        <x:f>IF(L624="","",IF(N624="Yes","Strategic Legacy",IF(L624&lt;=90,"Active",IF(L624&lt;=180,"Monitor",IF(L624&lt;=365,"Slow-Moving",IF(L624&lt;=730,"Excess","Obsolete"))))))</x:f>
      </x:c>
    </x:row>
    <x:row r="625">
      <x:c r="A625" s="40"/>
      <x:c r="I625" s="42"/>
      <x:c r="J625" s="42" t="str">
        <x:f>IF(OR(H625="",I625=""),"",H625*I625)</x:f>
      </x:c>
      <x:c r="K625" s="40"/>
      <x:c r="L625" t="str">
        <x:f>IF(K625="","",A625-K625)</x:f>
      </x:c>
      <x:c r="M625" t="str">
        <x:f>IF(L625="","",IF(N625="Yes","Strategic Legacy",IF(L625&lt;=90,"Active",IF(L625&lt;=180,"Monitor",IF(L625&lt;=365,"Slow-Moving",IF(L625&lt;=730,"Excess","Obsolete"))))))</x:f>
      </x:c>
    </x:row>
    <x:row r="626">
      <x:c r="A626" s="40"/>
      <x:c r="I626" s="42"/>
      <x:c r="J626" s="42" t="str">
        <x:f>IF(OR(H626="",I626=""),"",H626*I626)</x:f>
      </x:c>
      <x:c r="K626" s="40"/>
      <x:c r="L626" t="str">
        <x:f>IF(K626="","",A626-K626)</x:f>
      </x:c>
      <x:c r="M626" t="str">
        <x:f>IF(L626="","",IF(N626="Yes","Strategic Legacy",IF(L626&lt;=90,"Active",IF(L626&lt;=180,"Monitor",IF(L626&lt;=365,"Slow-Moving",IF(L626&lt;=730,"Excess","Obsolete"))))))</x:f>
      </x:c>
    </x:row>
    <x:row r="627">
      <x:c r="A627" s="40"/>
      <x:c r="I627" s="42"/>
      <x:c r="J627" s="42" t="str">
        <x:f>IF(OR(H627="",I627=""),"",H627*I627)</x:f>
      </x:c>
      <x:c r="K627" s="40"/>
      <x:c r="L627" t="str">
        <x:f>IF(K627="","",A627-K627)</x:f>
      </x:c>
      <x:c r="M627" t="str">
        <x:f>IF(L627="","",IF(N627="Yes","Strategic Legacy",IF(L627&lt;=90,"Active",IF(L627&lt;=180,"Monitor",IF(L627&lt;=365,"Slow-Moving",IF(L627&lt;=730,"Excess","Obsolete"))))))</x:f>
      </x:c>
    </x:row>
    <x:row r="628">
      <x:c r="A628" s="40"/>
      <x:c r="I628" s="42"/>
      <x:c r="J628" s="42" t="str">
        <x:f>IF(OR(H628="",I628=""),"",H628*I628)</x:f>
      </x:c>
      <x:c r="K628" s="40"/>
      <x:c r="L628" t="str">
        <x:f>IF(K628="","",A628-K628)</x:f>
      </x:c>
      <x:c r="M628" t="str">
        <x:f>IF(L628="","",IF(N628="Yes","Strategic Legacy",IF(L628&lt;=90,"Active",IF(L628&lt;=180,"Monitor",IF(L628&lt;=365,"Slow-Moving",IF(L628&lt;=730,"Excess","Obsolete"))))))</x:f>
      </x:c>
    </x:row>
    <x:row r="629">
      <x:c r="A629" s="40"/>
      <x:c r="I629" s="42"/>
      <x:c r="J629" s="42" t="str">
        <x:f>IF(OR(H629="",I629=""),"",H629*I629)</x:f>
      </x:c>
      <x:c r="K629" s="40"/>
      <x:c r="L629" t="str">
        <x:f>IF(K629="","",A629-K629)</x:f>
      </x:c>
      <x:c r="M629" t="str">
        <x:f>IF(L629="","",IF(N629="Yes","Strategic Legacy",IF(L629&lt;=90,"Active",IF(L629&lt;=180,"Monitor",IF(L629&lt;=365,"Slow-Moving",IF(L629&lt;=730,"Excess","Obsolete"))))))</x:f>
      </x:c>
    </x:row>
    <x:row r="630">
      <x:c r="A630" s="40"/>
      <x:c r="I630" s="42"/>
      <x:c r="J630" s="42" t="str">
        <x:f>IF(OR(H630="",I630=""),"",H630*I630)</x:f>
      </x:c>
      <x:c r="K630" s="40"/>
      <x:c r="L630" t="str">
        <x:f>IF(K630="","",A630-K630)</x:f>
      </x:c>
      <x:c r="M630" t="str">
        <x:f>IF(L630="","",IF(N630="Yes","Strategic Legacy",IF(L630&lt;=90,"Active",IF(L630&lt;=180,"Monitor",IF(L630&lt;=365,"Slow-Moving",IF(L630&lt;=730,"Excess","Obsolete"))))))</x:f>
      </x:c>
    </x:row>
    <x:row r="631">
      <x:c r="A631" s="40"/>
      <x:c r="I631" s="42"/>
      <x:c r="J631" s="42" t="str">
        <x:f>IF(OR(H631="",I631=""),"",H631*I631)</x:f>
      </x:c>
      <x:c r="K631" s="40"/>
      <x:c r="L631" t="str">
        <x:f>IF(K631="","",A631-K631)</x:f>
      </x:c>
      <x:c r="M631" t="str">
        <x:f>IF(L631="","",IF(N631="Yes","Strategic Legacy",IF(L631&lt;=90,"Active",IF(L631&lt;=180,"Monitor",IF(L631&lt;=365,"Slow-Moving",IF(L631&lt;=730,"Excess","Obsolete"))))))</x:f>
      </x:c>
    </x:row>
    <x:row r="632">
      <x:c r="A632" s="40"/>
      <x:c r="I632" s="42"/>
      <x:c r="J632" s="42" t="str">
        <x:f>IF(OR(H632="",I632=""),"",H632*I632)</x:f>
      </x:c>
      <x:c r="K632" s="40"/>
      <x:c r="L632" t="str">
        <x:f>IF(K632="","",A632-K632)</x:f>
      </x:c>
      <x:c r="M632" t="str">
        <x:f>IF(L632="","",IF(N632="Yes","Strategic Legacy",IF(L632&lt;=90,"Active",IF(L632&lt;=180,"Monitor",IF(L632&lt;=365,"Slow-Moving",IF(L632&lt;=730,"Excess","Obsolete"))))))</x:f>
      </x:c>
    </x:row>
    <x:row r="633">
      <x:c r="A633" s="40"/>
      <x:c r="I633" s="42"/>
      <x:c r="J633" s="42" t="str">
        <x:f>IF(OR(H633="",I633=""),"",H633*I633)</x:f>
      </x:c>
      <x:c r="K633" s="40"/>
      <x:c r="L633" t="str">
        <x:f>IF(K633="","",A633-K633)</x:f>
      </x:c>
      <x:c r="M633" t="str">
        <x:f>IF(L633="","",IF(N633="Yes","Strategic Legacy",IF(L633&lt;=90,"Active",IF(L633&lt;=180,"Monitor",IF(L633&lt;=365,"Slow-Moving",IF(L633&lt;=730,"Excess","Obsolete"))))))</x:f>
      </x:c>
    </x:row>
    <x:row r="634">
      <x:c r="A634" s="40"/>
      <x:c r="I634" s="42"/>
      <x:c r="J634" s="42" t="str">
        <x:f>IF(OR(H634="",I634=""),"",H634*I634)</x:f>
      </x:c>
      <x:c r="K634" s="40"/>
      <x:c r="L634" t="str">
        <x:f>IF(K634="","",A634-K634)</x:f>
      </x:c>
      <x:c r="M634" t="str">
        <x:f>IF(L634="","",IF(N634="Yes","Strategic Legacy",IF(L634&lt;=90,"Active",IF(L634&lt;=180,"Monitor",IF(L634&lt;=365,"Slow-Moving",IF(L634&lt;=730,"Excess","Obsolete"))))))</x:f>
      </x:c>
    </x:row>
    <x:row r="635">
      <x:c r="A635" s="40"/>
      <x:c r="I635" s="42"/>
      <x:c r="J635" s="42" t="str">
        <x:f>IF(OR(H635="",I635=""),"",H635*I635)</x:f>
      </x:c>
      <x:c r="K635" s="40"/>
      <x:c r="L635" t="str">
        <x:f>IF(K635="","",A635-K635)</x:f>
      </x:c>
      <x:c r="M635" t="str">
        <x:f>IF(L635="","",IF(N635="Yes","Strategic Legacy",IF(L635&lt;=90,"Active",IF(L635&lt;=180,"Monitor",IF(L635&lt;=365,"Slow-Moving",IF(L635&lt;=730,"Excess","Obsolete"))))))</x:f>
      </x:c>
    </x:row>
    <x:row r="636">
      <x:c r="A636" s="40"/>
      <x:c r="I636" s="42"/>
      <x:c r="J636" s="42" t="str">
        <x:f>IF(OR(H636="",I636=""),"",H636*I636)</x:f>
      </x:c>
      <x:c r="K636" s="40"/>
      <x:c r="L636" t="str">
        <x:f>IF(K636="","",A636-K636)</x:f>
      </x:c>
      <x:c r="M636" t="str">
        <x:f>IF(L636="","",IF(N636="Yes","Strategic Legacy",IF(L636&lt;=90,"Active",IF(L636&lt;=180,"Monitor",IF(L636&lt;=365,"Slow-Moving",IF(L636&lt;=730,"Excess","Obsolete"))))))</x:f>
      </x:c>
    </x:row>
    <x:row r="637">
      <x:c r="A637" s="40"/>
      <x:c r="I637" s="42"/>
      <x:c r="J637" s="42" t="str">
        <x:f>IF(OR(H637="",I637=""),"",H637*I637)</x:f>
      </x:c>
      <x:c r="K637" s="40"/>
      <x:c r="L637" t="str">
        <x:f>IF(K637="","",A637-K637)</x:f>
      </x:c>
      <x:c r="M637" t="str">
        <x:f>IF(L637="","",IF(N637="Yes","Strategic Legacy",IF(L637&lt;=90,"Active",IF(L637&lt;=180,"Monitor",IF(L637&lt;=365,"Slow-Moving",IF(L637&lt;=730,"Excess","Obsolete"))))))</x:f>
      </x:c>
    </x:row>
    <x:row r="638">
      <x:c r="A638" s="40"/>
      <x:c r="I638" s="42"/>
      <x:c r="J638" s="42" t="str">
        <x:f>IF(OR(H638="",I638=""),"",H638*I638)</x:f>
      </x:c>
      <x:c r="K638" s="40"/>
      <x:c r="L638" t="str">
        <x:f>IF(K638="","",A638-K638)</x:f>
      </x:c>
      <x:c r="M638" t="str">
        <x:f>IF(L638="","",IF(N638="Yes","Strategic Legacy",IF(L638&lt;=90,"Active",IF(L638&lt;=180,"Monitor",IF(L638&lt;=365,"Slow-Moving",IF(L638&lt;=730,"Excess","Obsolete"))))))</x:f>
      </x:c>
    </x:row>
    <x:row r="639">
      <x:c r="A639" s="40"/>
      <x:c r="I639" s="42"/>
      <x:c r="J639" s="42" t="str">
        <x:f>IF(OR(H639="",I639=""),"",H639*I639)</x:f>
      </x:c>
      <x:c r="K639" s="40"/>
      <x:c r="L639" t="str">
        <x:f>IF(K639="","",A639-K639)</x:f>
      </x:c>
      <x:c r="M639" t="str">
        <x:f>IF(L639="","",IF(N639="Yes","Strategic Legacy",IF(L639&lt;=90,"Active",IF(L639&lt;=180,"Monitor",IF(L639&lt;=365,"Slow-Moving",IF(L639&lt;=730,"Excess","Obsolete"))))))</x:f>
      </x:c>
    </x:row>
    <x:row r="640">
      <x:c r="A640" s="40"/>
      <x:c r="I640" s="42"/>
      <x:c r="J640" s="42" t="str">
        <x:f>IF(OR(H640="",I640=""),"",H640*I640)</x:f>
      </x:c>
      <x:c r="K640" s="40"/>
      <x:c r="L640" t="str">
        <x:f>IF(K640="","",A640-K640)</x:f>
      </x:c>
      <x:c r="M640" t="str">
        <x:f>IF(L640="","",IF(N640="Yes","Strategic Legacy",IF(L640&lt;=90,"Active",IF(L640&lt;=180,"Monitor",IF(L640&lt;=365,"Slow-Moving",IF(L640&lt;=730,"Excess","Obsolete"))))))</x:f>
      </x:c>
    </x:row>
    <x:row r="641">
      <x:c r="A641" s="40"/>
      <x:c r="I641" s="42"/>
      <x:c r="J641" s="42" t="str">
        <x:f>IF(OR(H641="",I641=""),"",H641*I641)</x:f>
      </x:c>
      <x:c r="K641" s="40"/>
      <x:c r="L641" t="str">
        <x:f>IF(K641="","",A641-K641)</x:f>
      </x:c>
      <x:c r="M641" t="str">
        <x:f>IF(L641="","",IF(N641="Yes","Strategic Legacy",IF(L641&lt;=90,"Active",IF(L641&lt;=180,"Monitor",IF(L641&lt;=365,"Slow-Moving",IF(L641&lt;=730,"Excess","Obsolete"))))))</x:f>
      </x:c>
    </x:row>
    <x:row r="642">
      <x:c r="A642" s="40"/>
      <x:c r="I642" s="42"/>
      <x:c r="J642" s="42" t="str">
        <x:f>IF(OR(H642="",I642=""),"",H642*I642)</x:f>
      </x:c>
      <x:c r="K642" s="40"/>
      <x:c r="L642" t="str">
        <x:f>IF(K642="","",A642-K642)</x:f>
      </x:c>
      <x:c r="M642" t="str">
        <x:f>IF(L642="","",IF(N642="Yes","Strategic Legacy",IF(L642&lt;=90,"Active",IF(L642&lt;=180,"Monitor",IF(L642&lt;=365,"Slow-Moving",IF(L642&lt;=730,"Excess","Obsolete"))))))</x:f>
      </x:c>
    </x:row>
    <x:row r="643">
      <x:c r="A643" s="40"/>
      <x:c r="I643" s="42"/>
      <x:c r="J643" s="42" t="str">
        <x:f>IF(OR(H643="",I643=""),"",H643*I643)</x:f>
      </x:c>
      <x:c r="K643" s="40"/>
      <x:c r="L643" t="str">
        <x:f>IF(K643="","",A643-K643)</x:f>
      </x:c>
      <x:c r="M643" t="str">
        <x:f>IF(L643="","",IF(N643="Yes","Strategic Legacy",IF(L643&lt;=90,"Active",IF(L643&lt;=180,"Monitor",IF(L643&lt;=365,"Slow-Moving",IF(L643&lt;=730,"Excess","Obsolete"))))))</x:f>
      </x:c>
    </x:row>
    <x:row r="644">
      <x:c r="A644" s="40"/>
      <x:c r="I644" s="42"/>
      <x:c r="J644" s="42" t="str">
        <x:f>IF(OR(H644="",I644=""),"",H644*I644)</x:f>
      </x:c>
      <x:c r="K644" s="40"/>
      <x:c r="L644" t="str">
        <x:f>IF(K644="","",A644-K644)</x:f>
      </x:c>
      <x:c r="M644" t="str">
        <x:f>IF(L644="","",IF(N644="Yes","Strategic Legacy",IF(L644&lt;=90,"Active",IF(L644&lt;=180,"Monitor",IF(L644&lt;=365,"Slow-Moving",IF(L644&lt;=730,"Excess","Obsolete"))))))</x:f>
      </x:c>
    </x:row>
    <x:row r="645">
      <x:c r="A645" s="40"/>
      <x:c r="I645" s="42"/>
      <x:c r="J645" s="42" t="str">
        <x:f>IF(OR(H645="",I645=""),"",H645*I645)</x:f>
      </x:c>
      <x:c r="K645" s="40"/>
      <x:c r="L645" t="str">
        <x:f>IF(K645="","",A645-K645)</x:f>
      </x:c>
      <x:c r="M645" t="str">
        <x:f>IF(L645="","",IF(N645="Yes","Strategic Legacy",IF(L645&lt;=90,"Active",IF(L645&lt;=180,"Monitor",IF(L645&lt;=365,"Slow-Moving",IF(L645&lt;=730,"Excess","Obsolete"))))))</x:f>
      </x:c>
    </x:row>
    <x:row r="646">
      <x:c r="A646" s="40"/>
      <x:c r="I646" s="42"/>
      <x:c r="J646" s="42" t="str">
        <x:f>IF(OR(H646="",I646=""),"",H646*I646)</x:f>
      </x:c>
      <x:c r="K646" s="40"/>
      <x:c r="L646" t="str">
        <x:f>IF(K646="","",A646-K646)</x:f>
      </x:c>
      <x:c r="M646" t="str">
        <x:f>IF(L646="","",IF(N646="Yes","Strategic Legacy",IF(L646&lt;=90,"Active",IF(L646&lt;=180,"Monitor",IF(L646&lt;=365,"Slow-Moving",IF(L646&lt;=730,"Excess","Obsolete"))))))</x:f>
      </x:c>
    </x:row>
    <x:row r="647">
      <x:c r="A647" s="40"/>
      <x:c r="I647" s="42"/>
      <x:c r="J647" s="42" t="str">
        <x:f>IF(OR(H647="",I647=""),"",H647*I647)</x:f>
      </x:c>
      <x:c r="K647" s="40"/>
      <x:c r="L647" t="str">
        <x:f>IF(K647="","",A647-K647)</x:f>
      </x:c>
      <x:c r="M647" t="str">
        <x:f>IF(L647="","",IF(N647="Yes","Strategic Legacy",IF(L647&lt;=90,"Active",IF(L647&lt;=180,"Monitor",IF(L647&lt;=365,"Slow-Moving",IF(L647&lt;=730,"Excess","Obsolete"))))))</x:f>
      </x:c>
    </x:row>
    <x:row r="648">
      <x:c r="A648" s="40"/>
      <x:c r="I648" s="42"/>
      <x:c r="J648" s="42" t="str">
        <x:f>IF(OR(H648="",I648=""),"",H648*I648)</x:f>
      </x:c>
      <x:c r="K648" s="40"/>
      <x:c r="L648" t="str">
        <x:f>IF(K648="","",A648-K648)</x:f>
      </x:c>
      <x:c r="M648" t="str">
        <x:f>IF(L648="","",IF(N648="Yes","Strategic Legacy",IF(L648&lt;=90,"Active",IF(L648&lt;=180,"Monitor",IF(L648&lt;=365,"Slow-Moving",IF(L648&lt;=730,"Excess","Obsolete"))))))</x:f>
      </x:c>
    </x:row>
    <x:row r="649">
      <x:c r="A649" s="40"/>
      <x:c r="I649" s="42"/>
      <x:c r="J649" s="42" t="str">
        <x:f>IF(OR(H649="",I649=""),"",H649*I649)</x:f>
      </x:c>
      <x:c r="K649" s="40"/>
      <x:c r="L649" t="str">
        <x:f>IF(K649="","",A649-K649)</x:f>
      </x:c>
      <x:c r="M649" t="str">
        <x:f>IF(L649="","",IF(N649="Yes","Strategic Legacy",IF(L649&lt;=90,"Active",IF(L649&lt;=180,"Monitor",IF(L649&lt;=365,"Slow-Moving",IF(L649&lt;=730,"Excess","Obsolete"))))))</x:f>
      </x:c>
    </x:row>
    <x:row r="650">
      <x:c r="A650" s="40"/>
      <x:c r="I650" s="42"/>
      <x:c r="J650" s="42" t="str">
        <x:f>IF(OR(H650="",I650=""),"",H650*I650)</x:f>
      </x:c>
      <x:c r="K650" s="40"/>
      <x:c r="L650" t="str">
        <x:f>IF(K650="","",A650-K650)</x:f>
      </x:c>
      <x:c r="M650" t="str">
        <x:f>IF(L650="","",IF(N650="Yes","Strategic Legacy",IF(L650&lt;=90,"Active",IF(L650&lt;=180,"Monitor",IF(L650&lt;=365,"Slow-Moving",IF(L650&lt;=730,"Excess","Obsolete"))))))</x:f>
      </x:c>
    </x:row>
    <x:row r="651">
      <x:c r="A651" s="40"/>
      <x:c r="I651" s="42"/>
      <x:c r="J651" s="42" t="str">
        <x:f>IF(OR(H651="",I651=""),"",H651*I651)</x:f>
      </x:c>
      <x:c r="K651" s="40"/>
      <x:c r="L651" t="str">
        <x:f>IF(K651="","",A651-K651)</x:f>
      </x:c>
      <x:c r="M651" t="str">
        <x:f>IF(L651="","",IF(N651="Yes","Strategic Legacy",IF(L651&lt;=90,"Active",IF(L651&lt;=180,"Monitor",IF(L651&lt;=365,"Slow-Moving",IF(L651&lt;=730,"Excess","Obsolete"))))))</x:f>
      </x:c>
    </x:row>
    <x:row r="652">
      <x:c r="A652" s="40"/>
      <x:c r="I652" s="42"/>
      <x:c r="J652" s="42" t="str">
        <x:f>IF(OR(H652="",I652=""),"",H652*I652)</x:f>
      </x:c>
      <x:c r="K652" s="40"/>
      <x:c r="L652" t="str">
        <x:f>IF(K652="","",A652-K652)</x:f>
      </x:c>
      <x:c r="M652" t="str">
        <x:f>IF(L652="","",IF(N652="Yes","Strategic Legacy",IF(L652&lt;=90,"Active",IF(L652&lt;=180,"Monitor",IF(L652&lt;=365,"Slow-Moving",IF(L652&lt;=730,"Excess","Obsolete"))))))</x:f>
      </x:c>
    </x:row>
    <x:row r="653">
      <x:c r="A653" s="40"/>
      <x:c r="I653" s="42"/>
      <x:c r="J653" s="42" t="str">
        <x:f>IF(OR(H653="",I653=""),"",H653*I653)</x:f>
      </x:c>
      <x:c r="K653" s="40"/>
      <x:c r="L653" t="str">
        <x:f>IF(K653="","",A653-K653)</x:f>
      </x:c>
      <x:c r="M653" t="str">
        <x:f>IF(L653="","",IF(N653="Yes","Strategic Legacy",IF(L653&lt;=90,"Active",IF(L653&lt;=180,"Monitor",IF(L653&lt;=365,"Slow-Moving",IF(L653&lt;=730,"Excess","Obsolete"))))))</x:f>
      </x:c>
    </x:row>
    <x:row r="654">
      <x:c r="A654" s="40"/>
      <x:c r="I654" s="42"/>
      <x:c r="J654" s="42" t="str">
        <x:f>IF(OR(H654="",I654=""),"",H654*I654)</x:f>
      </x:c>
      <x:c r="K654" s="40"/>
      <x:c r="L654" t="str">
        <x:f>IF(K654="","",A654-K654)</x:f>
      </x:c>
      <x:c r="M654" t="str">
        <x:f>IF(L654="","",IF(N654="Yes","Strategic Legacy",IF(L654&lt;=90,"Active",IF(L654&lt;=180,"Monitor",IF(L654&lt;=365,"Slow-Moving",IF(L654&lt;=730,"Excess","Obsolete"))))))</x:f>
      </x:c>
    </x:row>
    <x:row r="655">
      <x:c r="A655" s="40"/>
      <x:c r="I655" s="42"/>
      <x:c r="J655" s="42" t="str">
        <x:f>IF(OR(H655="",I655=""),"",H655*I655)</x:f>
      </x:c>
      <x:c r="K655" s="40"/>
      <x:c r="L655" t="str">
        <x:f>IF(K655="","",A655-K655)</x:f>
      </x:c>
      <x:c r="M655" t="str">
        <x:f>IF(L655="","",IF(N655="Yes","Strategic Legacy",IF(L655&lt;=90,"Active",IF(L655&lt;=180,"Monitor",IF(L655&lt;=365,"Slow-Moving",IF(L655&lt;=730,"Excess","Obsolete"))))))</x:f>
      </x:c>
    </x:row>
    <x:row r="656">
      <x:c r="A656" s="40"/>
      <x:c r="I656" s="42"/>
      <x:c r="J656" s="42" t="str">
        <x:f>IF(OR(H656="",I656=""),"",H656*I656)</x:f>
      </x:c>
      <x:c r="K656" s="40"/>
      <x:c r="L656" t="str">
        <x:f>IF(K656="","",A656-K656)</x:f>
      </x:c>
      <x:c r="M656" t="str">
        <x:f>IF(L656="","",IF(N656="Yes","Strategic Legacy",IF(L656&lt;=90,"Active",IF(L656&lt;=180,"Monitor",IF(L656&lt;=365,"Slow-Moving",IF(L656&lt;=730,"Excess","Obsolete"))))))</x:f>
      </x:c>
    </x:row>
    <x:row r="657">
      <x:c r="A657" s="40"/>
      <x:c r="I657" s="42"/>
      <x:c r="J657" s="42" t="str">
        <x:f>IF(OR(H657="",I657=""),"",H657*I657)</x:f>
      </x:c>
      <x:c r="K657" s="40"/>
      <x:c r="L657" t="str">
        <x:f>IF(K657="","",A657-K657)</x:f>
      </x:c>
      <x:c r="M657" t="str">
        <x:f>IF(L657="","",IF(N657="Yes","Strategic Legacy",IF(L657&lt;=90,"Active",IF(L657&lt;=180,"Monitor",IF(L657&lt;=365,"Slow-Moving",IF(L657&lt;=730,"Excess","Obsolete"))))))</x:f>
      </x:c>
    </x:row>
    <x:row r="658">
      <x:c r="A658" s="40"/>
      <x:c r="I658" s="42"/>
      <x:c r="J658" s="42" t="str">
        <x:f>IF(OR(H658="",I658=""),"",H658*I658)</x:f>
      </x:c>
      <x:c r="K658" s="40"/>
      <x:c r="L658" t="str">
        <x:f>IF(K658="","",A658-K658)</x:f>
      </x:c>
      <x:c r="M658" t="str">
        <x:f>IF(L658="","",IF(N658="Yes","Strategic Legacy",IF(L658&lt;=90,"Active",IF(L658&lt;=180,"Monitor",IF(L658&lt;=365,"Slow-Moving",IF(L658&lt;=730,"Excess","Obsolete"))))))</x:f>
      </x:c>
    </x:row>
    <x:row r="659">
      <x:c r="A659" s="40"/>
      <x:c r="I659" s="42"/>
      <x:c r="J659" s="42" t="str">
        <x:f>IF(OR(H659="",I659=""),"",H659*I659)</x:f>
      </x:c>
      <x:c r="K659" s="40"/>
      <x:c r="L659" t="str">
        <x:f>IF(K659="","",A659-K659)</x:f>
      </x:c>
      <x:c r="M659" t="str">
        <x:f>IF(L659="","",IF(N659="Yes","Strategic Legacy",IF(L659&lt;=90,"Active",IF(L659&lt;=180,"Monitor",IF(L659&lt;=365,"Slow-Moving",IF(L659&lt;=730,"Excess","Obsolete"))))))</x:f>
      </x:c>
    </x:row>
    <x:row r="660">
      <x:c r="A660" s="40"/>
      <x:c r="I660" s="42"/>
      <x:c r="J660" s="42" t="str">
        <x:f>IF(OR(H660="",I660=""),"",H660*I660)</x:f>
      </x:c>
      <x:c r="K660" s="40"/>
      <x:c r="L660" t="str">
        <x:f>IF(K660="","",A660-K660)</x:f>
      </x:c>
      <x:c r="M660" t="str">
        <x:f>IF(L660="","",IF(N660="Yes","Strategic Legacy",IF(L660&lt;=90,"Active",IF(L660&lt;=180,"Monitor",IF(L660&lt;=365,"Slow-Moving",IF(L660&lt;=730,"Excess","Obsolete"))))))</x:f>
      </x:c>
    </x:row>
    <x:row r="661">
      <x:c r="A661" s="40"/>
      <x:c r="I661" s="42"/>
      <x:c r="J661" s="42" t="str">
        <x:f>IF(OR(H661="",I661=""),"",H661*I661)</x:f>
      </x:c>
      <x:c r="K661" s="40"/>
      <x:c r="L661" t="str">
        <x:f>IF(K661="","",A661-K661)</x:f>
      </x:c>
      <x:c r="M661" t="str">
        <x:f>IF(L661="","",IF(N661="Yes","Strategic Legacy",IF(L661&lt;=90,"Active",IF(L661&lt;=180,"Monitor",IF(L661&lt;=365,"Slow-Moving",IF(L661&lt;=730,"Excess","Obsolete"))))))</x:f>
      </x:c>
    </x:row>
    <x:row r="662">
      <x:c r="A662" s="40"/>
      <x:c r="I662" s="42"/>
      <x:c r="J662" s="42" t="str">
        <x:f>IF(OR(H662="",I662=""),"",H662*I662)</x:f>
      </x:c>
      <x:c r="K662" s="40"/>
      <x:c r="L662" t="str">
        <x:f>IF(K662="","",A662-K662)</x:f>
      </x:c>
      <x:c r="M662" t="str">
        <x:f>IF(L662="","",IF(N662="Yes","Strategic Legacy",IF(L662&lt;=90,"Active",IF(L662&lt;=180,"Monitor",IF(L662&lt;=365,"Slow-Moving",IF(L662&lt;=730,"Excess","Obsolete"))))))</x:f>
      </x:c>
    </x:row>
    <x:row r="663">
      <x:c r="A663" s="40"/>
      <x:c r="I663" s="42"/>
      <x:c r="J663" s="42" t="str">
        <x:f>IF(OR(H663="",I663=""),"",H663*I663)</x:f>
      </x:c>
      <x:c r="K663" s="40"/>
      <x:c r="L663" t="str">
        <x:f>IF(K663="","",A663-K663)</x:f>
      </x:c>
      <x:c r="M663" t="str">
        <x:f>IF(L663="","",IF(N663="Yes","Strategic Legacy",IF(L663&lt;=90,"Active",IF(L663&lt;=180,"Monitor",IF(L663&lt;=365,"Slow-Moving",IF(L663&lt;=730,"Excess","Obsolete"))))))</x:f>
      </x:c>
    </x:row>
    <x:row r="664">
      <x:c r="A664" s="40"/>
      <x:c r="I664" s="42"/>
      <x:c r="J664" s="42" t="str">
        <x:f>IF(OR(H664="",I664=""),"",H664*I664)</x:f>
      </x:c>
      <x:c r="K664" s="40"/>
      <x:c r="L664" t="str">
        <x:f>IF(K664="","",A664-K664)</x:f>
      </x:c>
      <x:c r="M664" t="str">
        <x:f>IF(L664="","",IF(N664="Yes","Strategic Legacy",IF(L664&lt;=90,"Active",IF(L664&lt;=180,"Monitor",IF(L664&lt;=365,"Slow-Moving",IF(L664&lt;=730,"Excess","Obsolete"))))))</x:f>
      </x:c>
    </x:row>
    <x:row r="665">
      <x:c r="A665" s="40"/>
      <x:c r="I665" s="42"/>
      <x:c r="J665" s="42" t="str">
        <x:f>IF(OR(H665="",I665=""),"",H665*I665)</x:f>
      </x:c>
      <x:c r="K665" s="40"/>
      <x:c r="L665" t="str">
        <x:f>IF(K665="","",A665-K665)</x:f>
      </x:c>
      <x:c r="M665" t="str">
        <x:f>IF(L665="","",IF(N665="Yes","Strategic Legacy",IF(L665&lt;=90,"Active",IF(L665&lt;=180,"Monitor",IF(L665&lt;=365,"Slow-Moving",IF(L665&lt;=730,"Excess","Obsolete"))))))</x:f>
      </x:c>
    </x:row>
    <x:row r="666">
      <x:c r="A666" s="40"/>
      <x:c r="I666" s="42"/>
      <x:c r="J666" s="42" t="str">
        <x:f>IF(OR(H666="",I666=""),"",H666*I666)</x:f>
      </x:c>
      <x:c r="K666" s="40"/>
      <x:c r="L666" t="str">
        <x:f>IF(K666="","",A666-K666)</x:f>
      </x:c>
      <x:c r="M666" t="str">
        <x:f>IF(L666="","",IF(N666="Yes","Strategic Legacy",IF(L666&lt;=90,"Active",IF(L666&lt;=180,"Monitor",IF(L666&lt;=365,"Slow-Moving",IF(L666&lt;=730,"Excess","Obsolete"))))))</x:f>
      </x:c>
    </x:row>
    <x:row r="667">
      <x:c r="A667" s="40"/>
      <x:c r="I667" s="42"/>
      <x:c r="J667" s="42" t="str">
        <x:f>IF(OR(H667="",I667=""),"",H667*I667)</x:f>
      </x:c>
      <x:c r="K667" s="40"/>
      <x:c r="L667" t="str">
        <x:f>IF(K667="","",A667-K667)</x:f>
      </x:c>
      <x:c r="M667" t="str">
        <x:f>IF(L667="","",IF(N667="Yes","Strategic Legacy",IF(L667&lt;=90,"Active",IF(L667&lt;=180,"Monitor",IF(L667&lt;=365,"Slow-Moving",IF(L667&lt;=730,"Excess","Obsolete"))))))</x:f>
      </x:c>
    </x:row>
    <x:row r="668">
      <x:c r="A668" s="40"/>
      <x:c r="I668" s="42"/>
      <x:c r="J668" s="42" t="str">
        <x:f>IF(OR(H668="",I668=""),"",H668*I668)</x:f>
      </x:c>
      <x:c r="K668" s="40"/>
      <x:c r="L668" t="str">
        <x:f>IF(K668="","",A668-K668)</x:f>
      </x:c>
      <x:c r="M668" t="str">
        <x:f>IF(L668="","",IF(N668="Yes","Strategic Legacy",IF(L668&lt;=90,"Active",IF(L668&lt;=180,"Monitor",IF(L668&lt;=365,"Slow-Moving",IF(L668&lt;=730,"Excess","Obsolete"))))))</x:f>
      </x:c>
    </x:row>
    <x:row r="669">
      <x:c r="A669" s="40"/>
      <x:c r="I669" s="42"/>
      <x:c r="J669" s="42" t="str">
        <x:f>IF(OR(H669="",I669=""),"",H669*I669)</x:f>
      </x:c>
      <x:c r="K669" s="40"/>
      <x:c r="L669" t="str">
        <x:f>IF(K669="","",A669-K669)</x:f>
      </x:c>
      <x:c r="M669" t="str">
        <x:f>IF(L669="","",IF(N669="Yes","Strategic Legacy",IF(L669&lt;=90,"Active",IF(L669&lt;=180,"Monitor",IF(L669&lt;=365,"Slow-Moving",IF(L669&lt;=730,"Excess","Obsolete"))))))</x:f>
      </x:c>
    </x:row>
    <x:row r="670">
      <x:c r="A670" s="40"/>
      <x:c r="I670" s="42"/>
      <x:c r="J670" s="42" t="str">
        <x:f>IF(OR(H670="",I670=""),"",H670*I670)</x:f>
      </x:c>
      <x:c r="K670" s="40"/>
      <x:c r="L670" t="str">
        <x:f>IF(K670="","",A670-K670)</x:f>
      </x:c>
      <x:c r="M670" t="str">
        <x:f>IF(L670="","",IF(N670="Yes","Strategic Legacy",IF(L670&lt;=90,"Active",IF(L670&lt;=180,"Monitor",IF(L670&lt;=365,"Slow-Moving",IF(L670&lt;=730,"Excess","Obsolete"))))))</x:f>
      </x:c>
    </x:row>
    <x:row r="671">
      <x:c r="A671" s="40"/>
      <x:c r="I671" s="42"/>
      <x:c r="J671" s="42" t="str">
        <x:f>IF(OR(H671="",I671=""),"",H671*I671)</x:f>
      </x:c>
      <x:c r="K671" s="40"/>
      <x:c r="L671" t="str">
        <x:f>IF(K671="","",A671-K671)</x:f>
      </x:c>
      <x:c r="M671" t="str">
        <x:f>IF(L671="","",IF(N671="Yes","Strategic Legacy",IF(L671&lt;=90,"Active",IF(L671&lt;=180,"Monitor",IF(L671&lt;=365,"Slow-Moving",IF(L671&lt;=730,"Excess","Obsolete"))))))</x:f>
      </x:c>
    </x:row>
    <x:row r="672">
      <x:c r="A672" s="40"/>
      <x:c r="I672" s="42"/>
      <x:c r="J672" s="42" t="str">
        <x:f>IF(OR(H672="",I672=""),"",H672*I672)</x:f>
      </x:c>
      <x:c r="K672" s="40"/>
      <x:c r="L672" t="str">
        <x:f>IF(K672="","",A672-K672)</x:f>
      </x:c>
      <x:c r="M672" t="str">
        <x:f>IF(L672="","",IF(N672="Yes","Strategic Legacy",IF(L672&lt;=90,"Active",IF(L672&lt;=180,"Monitor",IF(L672&lt;=365,"Slow-Moving",IF(L672&lt;=730,"Excess","Obsolete"))))))</x:f>
      </x:c>
    </x:row>
    <x:row r="673">
      <x:c r="A673" s="40"/>
      <x:c r="I673" s="42"/>
      <x:c r="J673" s="42" t="str">
        <x:f>IF(OR(H673="",I673=""),"",H673*I673)</x:f>
      </x:c>
      <x:c r="K673" s="40"/>
      <x:c r="L673" t="str">
        <x:f>IF(K673="","",A673-K673)</x:f>
      </x:c>
      <x:c r="M673" t="str">
        <x:f>IF(L673="","",IF(N673="Yes","Strategic Legacy",IF(L673&lt;=90,"Active",IF(L673&lt;=180,"Monitor",IF(L673&lt;=365,"Slow-Moving",IF(L673&lt;=730,"Excess","Obsolete"))))))</x:f>
      </x:c>
    </x:row>
    <x:row r="674">
      <x:c r="A674" s="40"/>
      <x:c r="I674" s="42"/>
      <x:c r="J674" s="42" t="str">
        <x:f>IF(OR(H674="",I674=""),"",H674*I674)</x:f>
      </x:c>
      <x:c r="K674" s="40"/>
      <x:c r="L674" t="str">
        <x:f>IF(K674="","",A674-K674)</x:f>
      </x:c>
      <x:c r="M674" t="str">
        <x:f>IF(L674="","",IF(N674="Yes","Strategic Legacy",IF(L674&lt;=90,"Active",IF(L674&lt;=180,"Monitor",IF(L674&lt;=365,"Slow-Moving",IF(L674&lt;=730,"Excess","Obsolete"))))))</x:f>
      </x:c>
    </x:row>
    <x:row r="675">
      <x:c r="A675" s="40"/>
      <x:c r="I675" s="42"/>
      <x:c r="J675" s="42" t="str">
        <x:f>IF(OR(H675="",I675=""),"",H675*I675)</x:f>
      </x:c>
      <x:c r="K675" s="40"/>
      <x:c r="L675" t="str">
        <x:f>IF(K675="","",A675-K675)</x:f>
      </x:c>
      <x:c r="M675" t="str">
        <x:f>IF(L675="","",IF(N675="Yes","Strategic Legacy",IF(L675&lt;=90,"Active",IF(L675&lt;=180,"Monitor",IF(L675&lt;=365,"Slow-Moving",IF(L675&lt;=730,"Excess","Obsolete"))))))</x:f>
      </x:c>
    </x:row>
    <x:row r="676">
      <x:c r="A676" s="40"/>
      <x:c r="I676" s="42"/>
      <x:c r="J676" s="42" t="str">
        <x:f>IF(OR(H676="",I676=""),"",H676*I676)</x:f>
      </x:c>
      <x:c r="K676" s="40"/>
      <x:c r="L676" t="str">
        <x:f>IF(K676="","",A676-K676)</x:f>
      </x:c>
      <x:c r="M676" t="str">
        <x:f>IF(L676="","",IF(N676="Yes","Strategic Legacy",IF(L676&lt;=90,"Active",IF(L676&lt;=180,"Monitor",IF(L676&lt;=365,"Slow-Moving",IF(L676&lt;=730,"Excess","Obsolete"))))))</x:f>
      </x:c>
    </x:row>
    <x:row r="677">
      <x:c r="A677" s="40"/>
      <x:c r="I677" s="42"/>
      <x:c r="J677" s="42" t="str">
        <x:f>IF(OR(H677="",I677=""),"",H677*I677)</x:f>
      </x:c>
      <x:c r="K677" s="40"/>
      <x:c r="L677" t="str">
        <x:f>IF(K677="","",A677-K677)</x:f>
      </x:c>
      <x:c r="M677" t="str">
        <x:f>IF(L677="","",IF(N677="Yes","Strategic Legacy",IF(L677&lt;=90,"Active",IF(L677&lt;=180,"Monitor",IF(L677&lt;=365,"Slow-Moving",IF(L677&lt;=730,"Excess","Obsolete"))))))</x:f>
      </x:c>
    </x:row>
    <x:row r="678">
      <x:c r="A678" s="40"/>
      <x:c r="I678" s="42"/>
      <x:c r="J678" s="42" t="str">
        <x:f>IF(OR(H678="",I678=""),"",H678*I678)</x:f>
      </x:c>
      <x:c r="K678" s="40"/>
      <x:c r="L678" t="str">
        <x:f>IF(K678="","",A678-K678)</x:f>
      </x:c>
      <x:c r="M678" t="str">
        <x:f>IF(L678="","",IF(N678="Yes","Strategic Legacy",IF(L678&lt;=90,"Active",IF(L678&lt;=180,"Monitor",IF(L678&lt;=365,"Slow-Moving",IF(L678&lt;=730,"Excess","Obsolete"))))))</x:f>
      </x:c>
    </x:row>
    <x:row r="679">
      <x:c r="A679" s="40"/>
      <x:c r="I679" s="42"/>
      <x:c r="J679" s="42" t="str">
        <x:f>IF(OR(H679="",I679=""),"",H679*I679)</x:f>
      </x:c>
      <x:c r="K679" s="40"/>
      <x:c r="L679" t="str">
        <x:f>IF(K679="","",A679-K679)</x:f>
      </x:c>
      <x:c r="M679" t="str">
        <x:f>IF(L679="","",IF(N679="Yes","Strategic Legacy",IF(L679&lt;=90,"Active",IF(L679&lt;=180,"Monitor",IF(L679&lt;=365,"Slow-Moving",IF(L679&lt;=730,"Excess","Obsolete"))))))</x:f>
      </x:c>
    </x:row>
    <x:row r="680">
      <x:c r="A680" s="40"/>
      <x:c r="I680" s="42"/>
      <x:c r="J680" s="42" t="str">
        <x:f>IF(OR(H680="",I680=""),"",H680*I680)</x:f>
      </x:c>
      <x:c r="K680" s="40"/>
      <x:c r="L680" t="str">
        <x:f>IF(K680="","",A680-K680)</x:f>
      </x:c>
      <x:c r="M680" t="str">
        <x:f>IF(L680="","",IF(N680="Yes","Strategic Legacy",IF(L680&lt;=90,"Active",IF(L680&lt;=180,"Monitor",IF(L680&lt;=365,"Slow-Moving",IF(L680&lt;=730,"Excess","Obsolete"))))))</x:f>
      </x:c>
    </x:row>
    <x:row r="681">
      <x:c r="A681" s="40"/>
      <x:c r="I681" s="42"/>
      <x:c r="J681" s="42" t="str">
        <x:f>IF(OR(H681="",I681=""),"",H681*I681)</x:f>
      </x:c>
      <x:c r="K681" s="40"/>
      <x:c r="L681" t="str">
        <x:f>IF(K681="","",A681-K681)</x:f>
      </x:c>
      <x:c r="M681" t="str">
        <x:f>IF(L681="","",IF(N681="Yes","Strategic Legacy",IF(L681&lt;=90,"Active",IF(L681&lt;=180,"Monitor",IF(L681&lt;=365,"Slow-Moving",IF(L681&lt;=730,"Excess","Obsolete"))))))</x:f>
      </x:c>
    </x:row>
    <x:row r="682">
      <x:c r="A682" s="40"/>
      <x:c r="I682" s="42"/>
      <x:c r="J682" s="42" t="str">
        <x:f>IF(OR(H682="",I682=""),"",H682*I682)</x:f>
      </x:c>
      <x:c r="K682" s="40"/>
      <x:c r="L682" t="str">
        <x:f>IF(K682="","",A682-K682)</x:f>
      </x:c>
      <x:c r="M682" t="str">
        <x:f>IF(L682="","",IF(N682="Yes","Strategic Legacy",IF(L682&lt;=90,"Active",IF(L682&lt;=180,"Monitor",IF(L682&lt;=365,"Slow-Moving",IF(L682&lt;=730,"Excess","Obsolete"))))))</x:f>
      </x:c>
    </x:row>
    <x:row r="683">
      <x:c r="A683" s="40"/>
      <x:c r="I683" s="42"/>
      <x:c r="J683" s="42" t="str">
        <x:f>IF(OR(H683="",I683=""),"",H683*I683)</x:f>
      </x:c>
      <x:c r="K683" s="40"/>
      <x:c r="L683" t="str">
        <x:f>IF(K683="","",A683-K683)</x:f>
      </x:c>
      <x:c r="M683" t="str">
        <x:f>IF(L683="","",IF(N683="Yes","Strategic Legacy",IF(L683&lt;=90,"Active",IF(L683&lt;=180,"Monitor",IF(L683&lt;=365,"Slow-Moving",IF(L683&lt;=730,"Excess","Obsolete"))))))</x:f>
      </x:c>
    </x:row>
    <x:row r="684">
      <x:c r="A684" s="40"/>
      <x:c r="I684" s="42"/>
      <x:c r="J684" s="42" t="str">
        <x:f>IF(OR(H684="",I684=""),"",H684*I684)</x:f>
      </x:c>
      <x:c r="K684" s="40"/>
      <x:c r="L684" t="str">
        <x:f>IF(K684="","",A684-K684)</x:f>
      </x:c>
      <x:c r="M684" t="str">
        <x:f>IF(L684="","",IF(N684="Yes","Strategic Legacy",IF(L684&lt;=90,"Active",IF(L684&lt;=180,"Monitor",IF(L684&lt;=365,"Slow-Moving",IF(L684&lt;=730,"Excess","Obsolete"))))))</x:f>
      </x:c>
    </x:row>
    <x:row r="685">
      <x:c r="A685" s="40"/>
      <x:c r="I685" s="42"/>
      <x:c r="J685" s="42" t="str">
        <x:f>IF(OR(H685="",I685=""),"",H685*I685)</x:f>
      </x:c>
      <x:c r="K685" s="40"/>
      <x:c r="L685" t="str">
        <x:f>IF(K685="","",A685-K685)</x:f>
      </x:c>
      <x:c r="M685" t="str">
        <x:f>IF(L685="","",IF(N685="Yes","Strategic Legacy",IF(L685&lt;=90,"Active",IF(L685&lt;=180,"Monitor",IF(L685&lt;=365,"Slow-Moving",IF(L685&lt;=730,"Excess","Obsolete"))))))</x:f>
      </x:c>
    </x:row>
    <x:row r="686">
      <x:c r="A686" s="40"/>
      <x:c r="I686" s="42"/>
      <x:c r="J686" s="42" t="str">
        <x:f>IF(OR(H686="",I686=""),"",H686*I686)</x:f>
      </x:c>
      <x:c r="K686" s="40"/>
      <x:c r="L686" t="str">
        <x:f>IF(K686="","",A686-K686)</x:f>
      </x:c>
      <x:c r="M686" t="str">
        <x:f>IF(L686="","",IF(N686="Yes","Strategic Legacy",IF(L686&lt;=90,"Active",IF(L686&lt;=180,"Monitor",IF(L686&lt;=365,"Slow-Moving",IF(L686&lt;=730,"Excess","Obsolete"))))))</x:f>
      </x:c>
    </x:row>
    <x:row r="687">
      <x:c r="A687" s="40"/>
      <x:c r="I687" s="42"/>
      <x:c r="J687" s="42" t="str">
        <x:f>IF(OR(H687="",I687=""),"",H687*I687)</x:f>
      </x:c>
      <x:c r="K687" s="40"/>
      <x:c r="L687" t="str">
        <x:f>IF(K687="","",A687-K687)</x:f>
      </x:c>
      <x:c r="M687" t="str">
        <x:f>IF(L687="","",IF(N687="Yes","Strategic Legacy",IF(L687&lt;=90,"Active",IF(L687&lt;=180,"Monitor",IF(L687&lt;=365,"Slow-Moving",IF(L687&lt;=730,"Excess","Obsolete"))))))</x:f>
      </x:c>
    </x:row>
    <x:row r="688">
      <x:c r="A688" s="40"/>
      <x:c r="I688" s="42"/>
      <x:c r="J688" s="42" t="str">
        <x:f>IF(OR(H688="",I688=""),"",H688*I688)</x:f>
      </x:c>
      <x:c r="K688" s="40"/>
      <x:c r="L688" t="str">
        <x:f>IF(K688="","",A688-K688)</x:f>
      </x:c>
      <x:c r="M688" t="str">
        <x:f>IF(L688="","",IF(N688="Yes","Strategic Legacy",IF(L688&lt;=90,"Active",IF(L688&lt;=180,"Monitor",IF(L688&lt;=365,"Slow-Moving",IF(L688&lt;=730,"Excess","Obsolete"))))))</x:f>
      </x:c>
    </x:row>
    <x:row r="689">
      <x:c r="A689" s="40"/>
      <x:c r="I689" s="42"/>
      <x:c r="J689" s="42" t="str">
        <x:f>IF(OR(H689="",I689=""),"",H689*I689)</x:f>
      </x:c>
      <x:c r="K689" s="40"/>
      <x:c r="L689" t="str">
        <x:f>IF(K689="","",A689-K689)</x:f>
      </x:c>
      <x:c r="M689" t="str">
        <x:f>IF(L689="","",IF(N689="Yes","Strategic Legacy",IF(L689&lt;=90,"Active",IF(L689&lt;=180,"Monitor",IF(L689&lt;=365,"Slow-Moving",IF(L689&lt;=730,"Excess","Obsolete"))))))</x:f>
      </x:c>
    </x:row>
    <x:row r="690">
      <x:c r="A690" s="40"/>
      <x:c r="I690" s="42"/>
      <x:c r="J690" s="42" t="str">
        <x:f>IF(OR(H690="",I690=""),"",H690*I690)</x:f>
      </x:c>
      <x:c r="K690" s="40"/>
      <x:c r="L690" t="str">
        <x:f>IF(K690="","",A690-K690)</x:f>
      </x:c>
      <x:c r="M690" t="str">
        <x:f>IF(L690="","",IF(N690="Yes","Strategic Legacy",IF(L690&lt;=90,"Active",IF(L690&lt;=180,"Monitor",IF(L690&lt;=365,"Slow-Moving",IF(L690&lt;=730,"Excess","Obsolete"))))))</x:f>
      </x:c>
    </x:row>
    <x:row r="691">
      <x:c r="A691" s="40"/>
      <x:c r="I691" s="42"/>
      <x:c r="J691" s="42" t="str">
        <x:f>IF(OR(H691="",I691=""),"",H691*I691)</x:f>
      </x:c>
      <x:c r="K691" s="40"/>
      <x:c r="L691" t="str">
        <x:f>IF(K691="","",A691-K691)</x:f>
      </x:c>
      <x:c r="M691" t="str">
        <x:f>IF(L691="","",IF(N691="Yes","Strategic Legacy",IF(L691&lt;=90,"Active",IF(L691&lt;=180,"Monitor",IF(L691&lt;=365,"Slow-Moving",IF(L691&lt;=730,"Excess","Obsolete"))))))</x:f>
      </x:c>
    </x:row>
    <x:row r="692">
      <x:c r="A692" s="40"/>
      <x:c r="I692" s="42"/>
      <x:c r="J692" s="42" t="str">
        <x:f>IF(OR(H692="",I692=""),"",H692*I692)</x:f>
      </x:c>
      <x:c r="K692" s="40"/>
      <x:c r="L692" t="str">
        <x:f>IF(K692="","",A692-K692)</x:f>
      </x:c>
      <x:c r="M692" t="str">
        <x:f>IF(L692="","",IF(N692="Yes","Strategic Legacy",IF(L692&lt;=90,"Active",IF(L692&lt;=180,"Monitor",IF(L692&lt;=365,"Slow-Moving",IF(L692&lt;=730,"Excess","Obsolete"))))))</x:f>
      </x:c>
    </x:row>
    <x:row r="693">
      <x:c r="A693" s="40"/>
      <x:c r="I693" s="42"/>
      <x:c r="J693" s="42" t="str">
        <x:f>IF(OR(H693="",I693=""),"",H693*I693)</x:f>
      </x:c>
      <x:c r="K693" s="40"/>
      <x:c r="L693" t="str">
        <x:f>IF(K693="","",A693-K693)</x:f>
      </x:c>
      <x:c r="M693" t="str">
        <x:f>IF(L693="","",IF(N693="Yes","Strategic Legacy",IF(L693&lt;=90,"Active",IF(L693&lt;=180,"Monitor",IF(L693&lt;=365,"Slow-Moving",IF(L693&lt;=730,"Excess","Obsolete"))))))</x:f>
      </x:c>
    </x:row>
    <x:row r="694">
      <x:c r="A694" s="40"/>
      <x:c r="I694" s="42"/>
      <x:c r="J694" s="42" t="str">
        <x:f>IF(OR(H694="",I694=""),"",H694*I694)</x:f>
      </x:c>
      <x:c r="K694" s="40"/>
      <x:c r="L694" t="str">
        <x:f>IF(K694="","",A694-K694)</x:f>
      </x:c>
      <x:c r="M694" t="str">
        <x:f>IF(L694="","",IF(N694="Yes","Strategic Legacy",IF(L694&lt;=90,"Active",IF(L694&lt;=180,"Monitor",IF(L694&lt;=365,"Slow-Moving",IF(L694&lt;=730,"Excess","Obsolete"))))))</x:f>
      </x:c>
    </x:row>
    <x:row r="695">
      <x:c r="A695" s="40"/>
      <x:c r="I695" s="42"/>
      <x:c r="J695" s="42" t="str">
        <x:f>IF(OR(H695="",I695=""),"",H695*I695)</x:f>
      </x:c>
      <x:c r="K695" s="40"/>
      <x:c r="L695" t="str">
        <x:f>IF(K695="","",A695-K695)</x:f>
      </x:c>
      <x:c r="M695" t="str">
        <x:f>IF(L695="","",IF(N695="Yes","Strategic Legacy",IF(L695&lt;=90,"Active",IF(L695&lt;=180,"Monitor",IF(L695&lt;=365,"Slow-Moving",IF(L695&lt;=730,"Excess","Obsolete"))))))</x:f>
      </x:c>
    </x:row>
    <x:row r="696">
      <x:c r="A696" s="40"/>
      <x:c r="I696" s="42"/>
      <x:c r="J696" s="42" t="str">
        <x:f>IF(OR(H696="",I696=""),"",H696*I696)</x:f>
      </x:c>
      <x:c r="K696" s="40"/>
      <x:c r="L696" t="str">
        <x:f>IF(K696="","",A696-K696)</x:f>
      </x:c>
      <x:c r="M696" t="str">
        <x:f>IF(L696="","",IF(N696="Yes","Strategic Legacy",IF(L696&lt;=90,"Active",IF(L696&lt;=180,"Monitor",IF(L696&lt;=365,"Slow-Moving",IF(L696&lt;=730,"Excess","Obsolete"))))))</x:f>
      </x:c>
    </x:row>
    <x:row r="697">
      <x:c r="A697" s="40"/>
      <x:c r="I697" s="42"/>
      <x:c r="J697" s="42" t="str">
        <x:f>IF(OR(H697="",I697=""),"",H697*I697)</x:f>
      </x:c>
      <x:c r="K697" s="40"/>
      <x:c r="L697" t="str">
        <x:f>IF(K697="","",A697-K697)</x:f>
      </x:c>
      <x:c r="M697" t="str">
        <x:f>IF(L697="","",IF(N697="Yes","Strategic Legacy",IF(L697&lt;=90,"Active",IF(L697&lt;=180,"Monitor",IF(L697&lt;=365,"Slow-Moving",IF(L697&lt;=730,"Excess","Obsolete"))))))</x:f>
      </x:c>
    </x:row>
    <x:row r="698">
      <x:c r="A698" s="40"/>
      <x:c r="I698" s="42"/>
      <x:c r="J698" s="42" t="str">
        <x:f>IF(OR(H698="",I698=""),"",H698*I698)</x:f>
      </x:c>
      <x:c r="K698" s="40"/>
      <x:c r="L698" t="str">
        <x:f>IF(K698="","",A698-K698)</x:f>
      </x:c>
      <x:c r="M698" t="str">
        <x:f>IF(L698="","",IF(N698="Yes","Strategic Legacy",IF(L698&lt;=90,"Active",IF(L698&lt;=180,"Monitor",IF(L698&lt;=365,"Slow-Moving",IF(L698&lt;=730,"Excess","Obsolete"))))))</x:f>
      </x:c>
    </x:row>
    <x:row r="699">
      <x:c r="A699" s="40"/>
      <x:c r="I699" s="42"/>
      <x:c r="J699" s="42" t="str">
        <x:f>IF(OR(H699="",I699=""),"",H699*I699)</x:f>
      </x:c>
      <x:c r="K699" s="40"/>
      <x:c r="L699" t="str">
        <x:f>IF(K699="","",A699-K699)</x:f>
      </x:c>
      <x:c r="M699" t="str">
        <x:f>IF(L699="","",IF(N699="Yes","Strategic Legacy",IF(L699&lt;=90,"Active",IF(L699&lt;=180,"Monitor",IF(L699&lt;=365,"Slow-Moving",IF(L699&lt;=730,"Excess","Obsolete"))))))</x:f>
      </x:c>
    </x:row>
    <x:row r="700">
      <x:c r="A700" s="40"/>
      <x:c r="I700" s="42"/>
      <x:c r="J700" s="42" t="str">
        <x:f>IF(OR(H700="",I700=""),"",H700*I700)</x:f>
      </x:c>
      <x:c r="K700" s="40"/>
      <x:c r="L700" t="str">
        <x:f>IF(K700="","",A700-K700)</x:f>
      </x:c>
      <x:c r="M700" t="str">
        <x:f>IF(L700="","",IF(N700="Yes","Strategic Legacy",IF(L700&lt;=90,"Active",IF(L700&lt;=180,"Monitor",IF(L700&lt;=365,"Slow-Moving",IF(L700&lt;=730,"Excess","Obsolete"))))))</x:f>
      </x:c>
    </x:row>
    <x:row r="701">
      <x:c r="A701" s="40"/>
      <x:c r="I701" s="42"/>
      <x:c r="J701" s="42" t="str">
        <x:f>IF(OR(H701="",I701=""),"",H701*I701)</x:f>
      </x:c>
      <x:c r="K701" s="40"/>
      <x:c r="L701" t="str">
        <x:f>IF(K701="","",A701-K701)</x:f>
      </x:c>
      <x:c r="M701" t="str">
        <x:f>IF(L701="","",IF(N701="Yes","Strategic Legacy",IF(L701&lt;=90,"Active",IF(L701&lt;=180,"Monitor",IF(L701&lt;=365,"Slow-Moving",IF(L701&lt;=730,"Excess","Obsolete"))))))</x:f>
      </x:c>
    </x:row>
    <x:row r="702">
      <x:c r="A702" s="40"/>
      <x:c r="I702" s="42"/>
      <x:c r="J702" s="42" t="str">
        <x:f>IF(OR(H702="",I702=""),"",H702*I702)</x:f>
      </x:c>
      <x:c r="K702" s="40"/>
      <x:c r="L702" t="str">
        <x:f>IF(K702="","",A702-K702)</x:f>
      </x:c>
      <x:c r="M702" t="str">
        <x:f>IF(L702="","",IF(N702="Yes","Strategic Legacy",IF(L702&lt;=90,"Active",IF(L702&lt;=180,"Monitor",IF(L702&lt;=365,"Slow-Moving",IF(L702&lt;=730,"Excess","Obsolete"))))))</x:f>
      </x:c>
    </x:row>
    <x:row r="703">
      <x:c r="A703" s="40"/>
      <x:c r="I703" s="42"/>
      <x:c r="J703" s="42" t="str">
        <x:f>IF(OR(H703="",I703=""),"",H703*I703)</x:f>
      </x:c>
      <x:c r="K703" s="40"/>
      <x:c r="L703" t="str">
        <x:f>IF(K703="","",A703-K703)</x:f>
      </x:c>
      <x:c r="M703" t="str">
        <x:f>IF(L703="","",IF(N703="Yes","Strategic Legacy",IF(L703&lt;=90,"Active",IF(L703&lt;=180,"Monitor",IF(L703&lt;=365,"Slow-Moving",IF(L703&lt;=730,"Excess","Obsolete"))))))</x:f>
      </x:c>
    </x:row>
    <x:row r="704">
      <x:c r="A704" s="40"/>
      <x:c r="I704" s="42"/>
      <x:c r="J704" s="42" t="str">
        <x:f>IF(OR(H704="",I704=""),"",H704*I704)</x:f>
      </x:c>
      <x:c r="K704" s="40"/>
      <x:c r="L704" t="str">
        <x:f>IF(K704="","",A704-K704)</x:f>
      </x:c>
      <x:c r="M704" t="str">
        <x:f>IF(L704="","",IF(N704="Yes","Strategic Legacy",IF(L704&lt;=90,"Active",IF(L704&lt;=180,"Monitor",IF(L704&lt;=365,"Slow-Moving",IF(L704&lt;=730,"Excess","Obsolete"))))))</x:f>
      </x:c>
    </x:row>
    <x:row r="705">
      <x:c r="A705" s="40"/>
      <x:c r="I705" s="42"/>
      <x:c r="J705" s="42" t="str">
        <x:f>IF(OR(H705="",I705=""),"",H705*I705)</x:f>
      </x:c>
      <x:c r="K705" s="40"/>
      <x:c r="L705" t="str">
        <x:f>IF(K705="","",A705-K705)</x:f>
      </x:c>
      <x:c r="M705" t="str">
        <x:f>IF(L705="","",IF(N705="Yes","Strategic Legacy",IF(L705&lt;=90,"Active",IF(L705&lt;=180,"Monitor",IF(L705&lt;=365,"Slow-Moving",IF(L705&lt;=730,"Excess","Obsolete"))))))</x:f>
      </x:c>
    </x:row>
    <x:row r="706">
      <x:c r="A706" s="40"/>
      <x:c r="I706" s="42"/>
      <x:c r="J706" s="42" t="str">
        <x:f>IF(OR(H706="",I706=""),"",H706*I706)</x:f>
      </x:c>
      <x:c r="K706" s="40"/>
      <x:c r="L706" t="str">
        <x:f>IF(K706="","",A706-K706)</x:f>
      </x:c>
      <x:c r="M706" t="str">
        <x:f>IF(L706="","",IF(N706="Yes","Strategic Legacy",IF(L706&lt;=90,"Active",IF(L706&lt;=180,"Monitor",IF(L706&lt;=365,"Slow-Moving",IF(L706&lt;=730,"Excess","Obsolete"))))))</x:f>
      </x:c>
    </x:row>
    <x:row r="707">
      <x:c r="A707" s="40"/>
      <x:c r="I707" s="42"/>
      <x:c r="J707" s="42" t="str">
        <x:f>IF(OR(H707="",I707=""),"",H707*I707)</x:f>
      </x:c>
      <x:c r="K707" s="40"/>
      <x:c r="L707" t="str">
        <x:f>IF(K707="","",A707-K707)</x:f>
      </x:c>
      <x:c r="M707" t="str">
        <x:f>IF(L707="","",IF(N707="Yes","Strategic Legacy",IF(L707&lt;=90,"Active",IF(L707&lt;=180,"Monitor",IF(L707&lt;=365,"Slow-Moving",IF(L707&lt;=730,"Excess","Obsolete"))))))</x:f>
      </x:c>
    </x:row>
    <x:row r="708">
      <x:c r="A708" s="40"/>
      <x:c r="I708" s="42"/>
      <x:c r="J708" s="42" t="str">
        <x:f>IF(OR(H708="",I708=""),"",H708*I708)</x:f>
      </x:c>
      <x:c r="K708" s="40"/>
      <x:c r="L708" t="str">
        <x:f>IF(K708="","",A708-K708)</x:f>
      </x:c>
      <x:c r="M708" t="str">
        <x:f>IF(L708="","",IF(N708="Yes","Strategic Legacy",IF(L708&lt;=90,"Active",IF(L708&lt;=180,"Monitor",IF(L708&lt;=365,"Slow-Moving",IF(L708&lt;=730,"Excess","Obsolete"))))))</x:f>
      </x:c>
    </x:row>
    <x:row r="709">
      <x:c r="A709" s="40"/>
      <x:c r="I709" s="42"/>
      <x:c r="J709" s="42" t="str">
        <x:f>IF(OR(H709="",I709=""),"",H709*I709)</x:f>
      </x:c>
      <x:c r="K709" s="40"/>
      <x:c r="L709" t="str">
        <x:f>IF(K709="","",A709-K709)</x:f>
      </x:c>
      <x:c r="M709" t="str">
        <x:f>IF(L709="","",IF(N709="Yes","Strategic Legacy",IF(L709&lt;=90,"Active",IF(L709&lt;=180,"Monitor",IF(L709&lt;=365,"Slow-Moving",IF(L709&lt;=730,"Excess","Obsolete"))))))</x:f>
      </x:c>
    </x:row>
    <x:row r="710">
      <x:c r="A710" s="40"/>
      <x:c r="I710" s="42"/>
      <x:c r="J710" s="42" t="str">
        <x:f>IF(OR(H710="",I710=""),"",H710*I710)</x:f>
      </x:c>
      <x:c r="K710" s="40"/>
      <x:c r="L710" t="str">
        <x:f>IF(K710="","",A710-K710)</x:f>
      </x:c>
      <x:c r="M710" t="str">
        <x:f>IF(L710="","",IF(N710="Yes","Strategic Legacy",IF(L710&lt;=90,"Active",IF(L710&lt;=180,"Monitor",IF(L710&lt;=365,"Slow-Moving",IF(L710&lt;=730,"Excess","Obsolete"))))))</x:f>
      </x:c>
    </x:row>
    <x:row r="711">
      <x:c r="A711" s="40"/>
      <x:c r="I711" s="42"/>
      <x:c r="J711" s="42" t="str">
        <x:f>IF(OR(H711="",I711=""),"",H711*I711)</x:f>
      </x:c>
      <x:c r="K711" s="40"/>
      <x:c r="L711" t="str">
        <x:f>IF(K711="","",A711-K711)</x:f>
      </x:c>
      <x:c r="M711" t="str">
        <x:f>IF(L711="","",IF(N711="Yes","Strategic Legacy",IF(L711&lt;=90,"Active",IF(L711&lt;=180,"Monitor",IF(L711&lt;=365,"Slow-Moving",IF(L711&lt;=730,"Excess","Obsolete"))))))</x:f>
      </x:c>
    </x:row>
    <x:row r="712">
      <x:c r="A712" s="40"/>
      <x:c r="I712" s="42"/>
      <x:c r="J712" s="42" t="str">
        <x:f>IF(OR(H712="",I712=""),"",H712*I712)</x:f>
      </x:c>
      <x:c r="K712" s="40"/>
      <x:c r="L712" t="str">
        <x:f>IF(K712="","",A712-K712)</x:f>
      </x:c>
      <x:c r="M712" t="str">
        <x:f>IF(L712="","",IF(N712="Yes","Strategic Legacy",IF(L712&lt;=90,"Active",IF(L712&lt;=180,"Monitor",IF(L712&lt;=365,"Slow-Moving",IF(L712&lt;=730,"Excess","Obsolete"))))))</x:f>
      </x:c>
    </x:row>
    <x:row r="713">
      <x:c r="A713" s="40"/>
      <x:c r="I713" s="42"/>
      <x:c r="J713" s="42" t="str">
        <x:f>IF(OR(H713="",I713=""),"",H713*I713)</x:f>
      </x:c>
      <x:c r="K713" s="40"/>
      <x:c r="L713" t="str">
        <x:f>IF(K713="","",A713-K713)</x:f>
      </x:c>
      <x:c r="M713" t="str">
        <x:f>IF(L713="","",IF(N713="Yes","Strategic Legacy",IF(L713&lt;=90,"Active",IF(L713&lt;=180,"Monitor",IF(L713&lt;=365,"Slow-Moving",IF(L713&lt;=730,"Excess","Obsolete"))))))</x:f>
      </x:c>
    </x:row>
    <x:row r="714">
      <x:c r="A714" s="40"/>
      <x:c r="I714" s="42"/>
      <x:c r="J714" s="42" t="str">
        <x:f>IF(OR(H714="",I714=""),"",H714*I714)</x:f>
      </x:c>
      <x:c r="K714" s="40"/>
      <x:c r="L714" t="str">
        <x:f>IF(K714="","",A714-K714)</x:f>
      </x:c>
      <x:c r="M714" t="str">
        <x:f>IF(L714="","",IF(N714="Yes","Strategic Legacy",IF(L714&lt;=90,"Active",IF(L714&lt;=180,"Monitor",IF(L714&lt;=365,"Slow-Moving",IF(L714&lt;=730,"Excess","Obsolete"))))))</x:f>
      </x:c>
    </x:row>
    <x:row r="715">
      <x:c r="A715" s="40"/>
      <x:c r="I715" s="42"/>
      <x:c r="J715" s="42" t="str">
        <x:f>IF(OR(H715="",I715=""),"",H715*I715)</x:f>
      </x:c>
      <x:c r="K715" s="40"/>
      <x:c r="L715" t="str">
        <x:f>IF(K715="","",A715-K715)</x:f>
      </x:c>
      <x:c r="M715" t="str">
        <x:f>IF(L715="","",IF(N715="Yes","Strategic Legacy",IF(L715&lt;=90,"Active",IF(L715&lt;=180,"Monitor",IF(L715&lt;=365,"Slow-Moving",IF(L715&lt;=730,"Excess","Obsolete"))))))</x:f>
      </x:c>
    </x:row>
    <x:row r="716">
      <x:c r="A716" s="40"/>
      <x:c r="I716" s="42"/>
      <x:c r="J716" s="42" t="str">
        <x:f>IF(OR(H716="",I716=""),"",H716*I716)</x:f>
      </x:c>
      <x:c r="K716" s="40"/>
      <x:c r="L716" t="str">
        <x:f>IF(K716="","",A716-K716)</x:f>
      </x:c>
      <x:c r="M716" t="str">
        <x:f>IF(L716="","",IF(N716="Yes","Strategic Legacy",IF(L716&lt;=90,"Active",IF(L716&lt;=180,"Monitor",IF(L716&lt;=365,"Slow-Moving",IF(L716&lt;=730,"Excess","Obsolete"))))))</x:f>
      </x:c>
    </x:row>
    <x:row r="717">
      <x:c r="A717" s="40"/>
      <x:c r="I717" s="42"/>
      <x:c r="J717" s="42" t="str">
        <x:f>IF(OR(H717="",I717=""),"",H717*I717)</x:f>
      </x:c>
      <x:c r="K717" s="40"/>
      <x:c r="L717" t="str">
        <x:f>IF(K717="","",A717-K717)</x:f>
      </x:c>
      <x:c r="M717" t="str">
        <x:f>IF(L717="","",IF(N717="Yes","Strategic Legacy",IF(L717&lt;=90,"Active",IF(L717&lt;=180,"Monitor",IF(L717&lt;=365,"Slow-Moving",IF(L717&lt;=730,"Excess","Obsolete"))))))</x:f>
      </x:c>
    </x:row>
    <x:row r="718">
      <x:c r="A718" s="40"/>
      <x:c r="I718" s="42"/>
      <x:c r="J718" s="42" t="str">
        <x:f>IF(OR(H718="",I718=""),"",H718*I718)</x:f>
      </x:c>
      <x:c r="K718" s="40"/>
      <x:c r="L718" t="str">
        <x:f>IF(K718="","",A718-K718)</x:f>
      </x:c>
      <x:c r="M718" t="str">
        <x:f>IF(L718="","",IF(N718="Yes","Strategic Legacy",IF(L718&lt;=90,"Active",IF(L718&lt;=180,"Monitor",IF(L718&lt;=365,"Slow-Moving",IF(L718&lt;=730,"Excess","Obsolete"))))))</x:f>
      </x:c>
    </x:row>
    <x:row r="719">
      <x:c r="A719" s="40"/>
      <x:c r="I719" s="42"/>
      <x:c r="J719" s="42" t="str">
        <x:f>IF(OR(H719="",I719=""),"",H719*I719)</x:f>
      </x:c>
      <x:c r="K719" s="40"/>
      <x:c r="L719" t="str">
        <x:f>IF(K719="","",A719-K719)</x:f>
      </x:c>
      <x:c r="M719" t="str">
        <x:f>IF(L719="","",IF(N719="Yes","Strategic Legacy",IF(L719&lt;=90,"Active",IF(L719&lt;=180,"Monitor",IF(L719&lt;=365,"Slow-Moving",IF(L719&lt;=730,"Excess","Obsolete"))))))</x:f>
      </x:c>
    </x:row>
    <x:row r="720">
      <x:c r="A720" s="40"/>
      <x:c r="I720" s="42"/>
      <x:c r="J720" s="42" t="str">
        <x:f>IF(OR(H720="",I720=""),"",H720*I720)</x:f>
      </x:c>
      <x:c r="K720" s="40"/>
      <x:c r="L720" t="str">
        <x:f>IF(K720="","",A720-K720)</x:f>
      </x:c>
      <x:c r="M720" t="str">
        <x:f>IF(L720="","",IF(N720="Yes","Strategic Legacy",IF(L720&lt;=90,"Active",IF(L720&lt;=180,"Monitor",IF(L720&lt;=365,"Slow-Moving",IF(L720&lt;=730,"Excess","Obsolete"))))))</x:f>
      </x:c>
    </x:row>
    <x:row r="721">
      <x:c r="A721" s="40"/>
      <x:c r="I721" s="42"/>
      <x:c r="J721" s="42" t="str">
        <x:f>IF(OR(H721="",I721=""),"",H721*I721)</x:f>
      </x:c>
      <x:c r="K721" s="40"/>
      <x:c r="L721" t="str">
        <x:f>IF(K721="","",A721-K721)</x:f>
      </x:c>
      <x:c r="M721" t="str">
        <x:f>IF(L721="","",IF(N721="Yes","Strategic Legacy",IF(L721&lt;=90,"Active",IF(L721&lt;=180,"Monitor",IF(L721&lt;=365,"Slow-Moving",IF(L721&lt;=730,"Excess","Obsolete"))))))</x:f>
      </x:c>
    </x:row>
    <x:row r="722">
      <x:c r="A722" s="40"/>
      <x:c r="I722" s="42"/>
      <x:c r="J722" s="42" t="str">
        <x:f>IF(OR(H722="",I722=""),"",H722*I722)</x:f>
      </x:c>
      <x:c r="K722" s="40"/>
      <x:c r="L722" t="str">
        <x:f>IF(K722="","",A722-K722)</x:f>
      </x:c>
      <x:c r="M722" t="str">
        <x:f>IF(L722="","",IF(N722="Yes","Strategic Legacy",IF(L722&lt;=90,"Active",IF(L722&lt;=180,"Monitor",IF(L722&lt;=365,"Slow-Moving",IF(L722&lt;=730,"Excess","Obsolete"))))))</x:f>
      </x:c>
    </x:row>
    <x:row r="723">
      <x:c r="A723" s="40"/>
      <x:c r="I723" s="42"/>
      <x:c r="J723" s="42" t="str">
        <x:f>IF(OR(H723="",I723=""),"",H723*I723)</x:f>
      </x:c>
      <x:c r="K723" s="40"/>
      <x:c r="L723" t="str">
        <x:f>IF(K723="","",A723-K723)</x:f>
      </x:c>
      <x:c r="M723" t="str">
        <x:f>IF(L723="","",IF(N723="Yes","Strategic Legacy",IF(L723&lt;=90,"Active",IF(L723&lt;=180,"Monitor",IF(L723&lt;=365,"Slow-Moving",IF(L723&lt;=730,"Excess","Obsolete"))))))</x:f>
      </x:c>
    </x:row>
    <x:row r="724">
      <x:c r="A724" s="40"/>
      <x:c r="I724" s="42"/>
      <x:c r="J724" s="42" t="str">
        <x:f>IF(OR(H724="",I724=""),"",H724*I724)</x:f>
      </x:c>
      <x:c r="K724" s="40"/>
      <x:c r="L724" t="str">
        <x:f>IF(K724="","",A724-K724)</x:f>
      </x:c>
      <x:c r="M724" t="str">
        <x:f>IF(L724="","",IF(N724="Yes","Strategic Legacy",IF(L724&lt;=90,"Active",IF(L724&lt;=180,"Monitor",IF(L724&lt;=365,"Slow-Moving",IF(L724&lt;=730,"Excess","Obsolete"))))))</x:f>
      </x:c>
    </x:row>
    <x:row r="725">
      <x:c r="A725" s="40"/>
      <x:c r="I725" s="42"/>
      <x:c r="J725" s="42" t="str">
        <x:f>IF(OR(H725="",I725=""),"",H725*I725)</x:f>
      </x:c>
      <x:c r="K725" s="40"/>
      <x:c r="L725" t="str">
        <x:f>IF(K725="","",A725-K725)</x:f>
      </x:c>
      <x:c r="M725" t="str">
        <x:f>IF(L725="","",IF(N725="Yes","Strategic Legacy",IF(L725&lt;=90,"Active",IF(L725&lt;=180,"Monitor",IF(L725&lt;=365,"Slow-Moving",IF(L725&lt;=730,"Excess","Obsolete"))))))</x:f>
      </x:c>
    </x:row>
    <x:row r="726">
      <x:c r="A726" s="40"/>
      <x:c r="I726" s="42"/>
      <x:c r="J726" s="42" t="str">
        <x:f>IF(OR(H726="",I726=""),"",H726*I726)</x:f>
      </x:c>
      <x:c r="K726" s="40"/>
      <x:c r="L726" t="str">
        <x:f>IF(K726="","",A726-K726)</x:f>
      </x:c>
      <x:c r="M726" t="str">
        <x:f>IF(L726="","",IF(N726="Yes","Strategic Legacy",IF(L726&lt;=90,"Active",IF(L726&lt;=180,"Monitor",IF(L726&lt;=365,"Slow-Moving",IF(L726&lt;=730,"Excess","Obsolete"))))))</x:f>
      </x:c>
    </x:row>
    <x:row r="727">
      <x:c r="A727" s="40"/>
      <x:c r="I727" s="42"/>
      <x:c r="J727" s="42" t="str">
        <x:f>IF(OR(H727="",I727=""),"",H727*I727)</x:f>
      </x:c>
      <x:c r="K727" s="40"/>
      <x:c r="L727" t="str">
        <x:f>IF(K727="","",A727-K727)</x:f>
      </x:c>
      <x:c r="M727" t="str">
        <x:f>IF(L727="","",IF(N727="Yes","Strategic Legacy",IF(L727&lt;=90,"Active",IF(L727&lt;=180,"Monitor",IF(L727&lt;=365,"Slow-Moving",IF(L727&lt;=730,"Excess","Obsolete"))))))</x:f>
      </x:c>
    </x:row>
    <x:row r="728">
      <x:c r="A728" s="40"/>
      <x:c r="I728" s="42"/>
      <x:c r="J728" s="42" t="str">
        <x:f>IF(OR(H728="",I728=""),"",H728*I728)</x:f>
      </x:c>
      <x:c r="K728" s="40"/>
      <x:c r="L728" t="str">
        <x:f>IF(K728="","",A728-K728)</x:f>
      </x:c>
      <x:c r="M728" t="str">
        <x:f>IF(L728="","",IF(N728="Yes","Strategic Legacy",IF(L728&lt;=90,"Active",IF(L728&lt;=180,"Monitor",IF(L728&lt;=365,"Slow-Moving",IF(L728&lt;=730,"Excess","Obsolete"))))))</x:f>
      </x:c>
    </x:row>
    <x:row r="729">
      <x:c r="A729" s="40"/>
      <x:c r="I729" s="42"/>
      <x:c r="J729" s="42" t="str">
        <x:f>IF(OR(H729="",I729=""),"",H729*I729)</x:f>
      </x:c>
      <x:c r="K729" s="40"/>
      <x:c r="L729" t="str">
        <x:f>IF(K729="","",A729-K729)</x:f>
      </x:c>
      <x:c r="M729" t="str">
        <x:f>IF(L729="","",IF(N729="Yes","Strategic Legacy",IF(L729&lt;=90,"Active",IF(L729&lt;=180,"Monitor",IF(L729&lt;=365,"Slow-Moving",IF(L729&lt;=730,"Excess","Obsolete"))))))</x:f>
      </x:c>
    </x:row>
    <x:row r="730">
      <x:c r="A730" s="40"/>
      <x:c r="I730" s="42"/>
      <x:c r="J730" s="42" t="str">
        <x:f>IF(OR(H730="",I730=""),"",H730*I730)</x:f>
      </x:c>
      <x:c r="K730" s="40"/>
      <x:c r="L730" t="str">
        <x:f>IF(K730="","",A730-K730)</x:f>
      </x:c>
      <x:c r="M730" t="str">
        <x:f>IF(L730="","",IF(N730="Yes","Strategic Legacy",IF(L730&lt;=90,"Active",IF(L730&lt;=180,"Monitor",IF(L730&lt;=365,"Slow-Moving",IF(L730&lt;=730,"Excess","Obsolete"))))))</x:f>
      </x:c>
    </x:row>
    <x:row r="731">
      <x:c r="A731" s="40"/>
      <x:c r="I731" s="42"/>
      <x:c r="J731" s="42" t="str">
        <x:f>IF(OR(H731="",I731=""),"",H731*I731)</x:f>
      </x:c>
      <x:c r="K731" s="40"/>
      <x:c r="L731" t="str">
        <x:f>IF(K731="","",A731-K731)</x:f>
      </x:c>
      <x:c r="M731" t="str">
        <x:f>IF(L731="","",IF(N731="Yes","Strategic Legacy",IF(L731&lt;=90,"Active",IF(L731&lt;=180,"Monitor",IF(L731&lt;=365,"Slow-Moving",IF(L731&lt;=730,"Excess","Obsolete"))))))</x:f>
      </x:c>
    </x:row>
    <x:row r="732">
      <x:c r="A732" s="40"/>
      <x:c r="I732" s="42"/>
      <x:c r="J732" s="42" t="str">
        <x:f>IF(OR(H732="",I732=""),"",H732*I732)</x:f>
      </x:c>
      <x:c r="K732" s="40"/>
      <x:c r="L732" t="str">
        <x:f>IF(K732="","",A732-K732)</x:f>
      </x:c>
      <x:c r="M732" t="str">
        <x:f>IF(L732="","",IF(N732="Yes","Strategic Legacy",IF(L732&lt;=90,"Active",IF(L732&lt;=180,"Monitor",IF(L732&lt;=365,"Slow-Moving",IF(L732&lt;=730,"Excess","Obsolete"))))))</x:f>
      </x:c>
    </x:row>
    <x:row r="733">
      <x:c r="A733" s="40"/>
      <x:c r="I733" s="42"/>
      <x:c r="J733" s="42" t="str">
        <x:f>IF(OR(H733="",I733=""),"",H733*I733)</x:f>
      </x:c>
      <x:c r="K733" s="40"/>
      <x:c r="L733" t="str">
        <x:f>IF(K733="","",A733-K733)</x:f>
      </x:c>
      <x:c r="M733" t="str">
        <x:f>IF(L733="","",IF(N733="Yes","Strategic Legacy",IF(L733&lt;=90,"Active",IF(L733&lt;=180,"Monitor",IF(L733&lt;=365,"Slow-Moving",IF(L733&lt;=730,"Excess","Obsolete"))))))</x:f>
      </x:c>
    </x:row>
    <x:row r="734">
      <x:c r="A734" s="40"/>
      <x:c r="I734" s="42"/>
      <x:c r="J734" s="42" t="str">
        <x:f>IF(OR(H734="",I734=""),"",H734*I734)</x:f>
      </x:c>
      <x:c r="K734" s="40"/>
      <x:c r="L734" t="str">
        <x:f>IF(K734="","",A734-K734)</x:f>
      </x:c>
      <x:c r="M734" t="str">
        <x:f>IF(L734="","",IF(N734="Yes","Strategic Legacy",IF(L734&lt;=90,"Active",IF(L734&lt;=180,"Monitor",IF(L734&lt;=365,"Slow-Moving",IF(L734&lt;=730,"Excess","Obsolete"))))))</x:f>
      </x:c>
    </x:row>
    <x:row r="735">
      <x:c r="A735" s="40"/>
      <x:c r="I735" s="42"/>
      <x:c r="J735" s="42" t="str">
        <x:f>IF(OR(H735="",I735=""),"",H735*I735)</x:f>
      </x:c>
      <x:c r="K735" s="40"/>
      <x:c r="L735" t="str">
        <x:f>IF(K735="","",A735-K735)</x:f>
      </x:c>
      <x:c r="M735" t="str">
        <x:f>IF(L735="","",IF(N735="Yes","Strategic Legacy",IF(L735&lt;=90,"Active",IF(L735&lt;=180,"Monitor",IF(L735&lt;=365,"Slow-Moving",IF(L735&lt;=730,"Excess","Obsolete"))))))</x:f>
      </x:c>
    </x:row>
    <x:row r="736">
      <x:c r="A736" s="40"/>
      <x:c r="I736" s="42"/>
      <x:c r="J736" s="42" t="str">
        <x:f>IF(OR(H736="",I736=""),"",H736*I736)</x:f>
      </x:c>
      <x:c r="K736" s="40"/>
      <x:c r="L736" t="str">
        <x:f>IF(K736="","",A736-K736)</x:f>
      </x:c>
      <x:c r="M736" t="str">
        <x:f>IF(L736="","",IF(N736="Yes","Strategic Legacy",IF(L736&lt;=90,"Active",IF(L736&lt;=180,"Monitor",IF(L736&lt;=365,"Slow-Moving",IF(L736&lt;=730,"Excess","Obsolete"))))))</x:f>
      </x:c>
    </x:row>
    <x:row r="737">
      <x:c r="A737" s="40"/>
      <x:c r="I737" s="42"/>
      <x:c r="J737" s="42" t="str">
        <x:f>IF(OR(H737="",I737=""),"",H737*I737)</x:f>
      </x:c>
      <x:c r="K737" s="40"/>
      <x:c r="L737" t="str">
        <x:f>IF(K737="","",A737-K737)</x:f>
      </x:c>
      <x:c r="M737" t="str">
        <x:f>IF(L737="","",IF(N737="Yes","Strategic Legacy",IF(L737&lt;=90,"Active",IF(L737&lt;=180,"Monitor",IF(L737&lt;=365,"Slow-Moving",IF(L737&lt;=730,"Excess","Obsolete"))))))</x:f>
      </x:c>
    </x:row>
    <x:row r="738">
      <x:c r="A738" s="40"/>
      <x:c r="I738" s="42"/>
      <x:c r="J738" s="42" t="str">
        <x:f>IF(OR(H738="",I738=""),"",H738*I738)</x:f>
      </x:c>
      <x:c r="K738" s="40"/>
      <x:c r="L738" t="str">
        <x:f>IF(K738="","",A738-K738)</x:f>
      </x:c>
      <x:c r="M738" t="str">
        <x:f>IF(L738="","",IF(N738="Yes","Strategic Legacy",IF(L738&lt;=90,"Active",IF(L738&lt;=180,"Monitor",IF(L738&lt;=365,"Slow-Moving",IF(L738&lt;=730,"Excess","Obsolete"))))))</x:f>
      </x:c>
    </x:row>
    <x:row r="739">
      <x:c r="A739" s="40"/>
      <x:c r="I739" s="42"/>
      <x:c r="J739" s="42" t="str">
        <x:f>IF(OR(H739="",I739=""),"",H739*I739)</x:f>
      </x:c>
      <x:c r="K739" s="40"/>
      <x:c r="L739" t="str">
        <x:f>IF(K739="","",A739-K739)</x:f>
      </x:c>
      <x:c r="M739" t="str">
        <x:f>IF(L739="","",IF(N739="Yes","Strategic Legacy",IF(L739&lt;=90,"Active",IF(L739&lt;=180,"Monitor",IF(L739&lt;=365,"Slow-Moving",IF(L739&lt;=730,"Excess","Obsolete"))))))</x:f>
      </x:c>
    </x:row>
    <x:row r="740">
      <x:c r="A740" s="40"/>
      <x:c r="I740" s="42"/>
      <x:c r="J740" s="42" t="str">
        <x:f>IF(OR(H740="",I740=""),"",H740*I740)</x:f>
      </x:c>
      <x:c r="K740" s="40"/>
      <x:c r="L740" t="str">
        <x:f>IF(K740="","",A740-K740)</x:f>
      </x:c>
      <x:c r="M740" t="str">
        <x:f>IF(L740="","",IF(N740="Yes","Strategic Legacy",IF(L740&lt;=90,"Active",IF(L740&lt;=180,"Monitor",IF(L740&lt;=365,"Slow-Moving",IF(L740&lt;=730,"Excess","Obsolete"))))))</x:f>
      </x:c>
    </x:row>
    <x:row r="741">
      <x:c r="A741" s="40"/>
      <x:c r="I741" s="42"/>
      <x:c r="J741" s="42" t="str">
        <x:f>IF(OR(H741="",I741=""),"",H741*I741)</x:f>
      </x:c>
      <x:c r="K741" s="40"/>
      <x:c r="L741" t="str">
        <x:f>IF(K741="","",A741-K741)</x:f>
      </x:c>
      <x:c r="M741" t="str">
        <x:f>IF(L741="","",IF(N741="Yes","Strategic Legacy",IF(L741&lt;=90,"Active",IF(L741&lt;=180,"Monitor",IF(L741&lt;=365,"Slow-Moving",IF(L741&lt;=730,"Excess","Obsolete"))))))</x:f>
      </x:c>
    </x:row>
    <x:row r="742">
      <x:c r="A742" s="40"/>
      <x:c r="I742" s="42"/>
      <x:c r="J742" s="42" t="str">
        <x:f>IF(OR(H742="",I742=""),"",H742*I742)</x:f>
      </x:c>
      <x:c r="K742" s="40"/>
      <x:c r="L742" t="str">
        <x:f>IF(K742="","",A742-K742)</x:f>
      </x:c>
      <x:c r="M742" t="str">
        <x:f>IF(L742="","",IF(N742="Yes","Strategic Legacy",IF(L742&lt;=90,"Active",IF(L742&lt;=180,"Monitor",IF(L742&lt;=365,"Slow-Moving",IF(L742&lt;=730,"Excess","Obsolete"))))))</x:f>
      </x:c>
    </x:row>
    <x:row r="743">
      <x:c r="A743" s="40"/>
      <x:c r="I743" s="42"/>
      <x:c r="J743" s="42" t="str">
        <x:f>IF(OR(H743="",I743=""),"",H743*I743)</x:f>
      </x:c>
      <x:c r="K743" s="40"/>
      <x:c r="L743" t="str">
        <x:f>IF(K743="","",A743-K743)</x:f>
      </x:c>
      <x:c r="M743" t="str">
        <x:f>IF(L743="","",IF(N743="Yes","Strategic Legacy",IF(L743&lt;=90,"Active",IF(L743&lt;=180,"Monitor",IF(L743&lt;=365,"Slow-Moving",IF(L743&lt;=730,"Excess","Obsolete"))))))</x:f>
      </x:c>
    </x:row>
    <x:row r="744">
      <x:c r="A744" s="40"/>
      <x:c r="I744" s="42"/>
      <x:c r="J744" s="42" t="str">
        <x:f>IF(OR(H744="",I744=""),"",H744*I744)</x:f>
      </x:c>
      <x:c r="K744" s="40"/>
      <x:c r="L744" t="str">
        <x:f>IF(K744="","",A744-K744)</x:f>
      </x:c>
      <x:c r="M744" t="str">
        <x:f>IF(L744="","",IF(N744="Yes","Strategic Legacy",IF(L744&lt;=90,"Active",IF(L744&lt;=180,"Monitor",IF(L744&lt;=365,"Slow-Moving",IF(L744&lt;=730,"Excess","Obsolete"))))))</x:f>
      </x:c>
    </x:row>
    <x:row r="745">
      <x:c r="A745" s="40"/>
      <x:c r="I745" s="42"/>
      <x:c r="J745" s="42" t="str">
        <x:f>IF(OR(H745="",I745=""),"",H745*I745)</x:f>
      </x:c>
      <x:c r="K745" s="40"/>
      <x:c r="L745" t="str">
        <x:f>IF(K745="","",A745-K745)</x:f>
      </x:c>
      <x:c r="M745" t="str">
        <x:f>IF(L745="","",IF(N745="Yes","Strategic Legacy",IF(L745&lt;=90,"Active",IF(L745&lt;=180,"Monitor",IF(L745&lt;=365,"Slow-Moving",IF(L745&lt;=730,"Excess","Obsolete"))))))</x:f>
      </x:c>
    </x:row>
    <x:row r="746">
      <x:c r="A746" s="40"/>
      <x:c r="I746" s="42"/>
      <x:c r="J746" s="42" t="str">
        <x:f>IF(OR(H746="",I746=""),"",H746*I746)</x:f>
      </x:c>
      <x:c r="K746" s="40"/>
      <x:c r="L746" t="str">
        <x:f>IF(K746="","",A746-K746)</x:f>
      </x:c>
      <x:c r="M746" t="str">
        <x:f>IF(L746="","",IF(N746="Yes","Strategic Legacy",IF(L746&lt;=90,"Active",IF(L746&lt;=180,"Monitor",IF(L746&lt;=365,"Slow-Moving",IF(L746&lt;=730,"Excess","Obsolete"))))))</x:f>
      </x:c>
    </x:row>
    <x:row r="747">
      <x:c r="A747" s="40"/>
      <x:c r="I747" s="42"/>
      <x:c r="J747" s="42" t="str">
        <x:f>IF(OR(H747="",I747=""),"",H747*I747)</x:f>
      </x:c>
      <x:c r="K747" s="40"/>
      <x:c r="L747" t="str">
        <x:f>IF(K747="","",A747-K747)</x:f>
      </x:c>
      <x:c r="M747" t="str">
        <x:f>IF(L747="","",IF(N747="Yes","Strategic Legacy",IF(L747&lt;=90,"Active",IF(L747&lt;=180,"Monitor",IF(L747&lt;=365,"Slow-Moving",IF(L747&lt;=730,"Excess","Obsolete"))))))</x:f>
      </x:c>
    </x:row>
    <x:row r="748">
      <x:c r="A748" s="40"/>
      <x:c r="I748" s="42"/>
      <x:c r="J748" s="42" t="str">
        <x:f>IF(OR(H748="",I748=""),"",H748*I748)</x:f>
      </x:c>
      <x:c r="K748" s="40"/>
      <x:c r="L748" t="str">
        <x:f>IF(K748="","",A748-K748)</x:f>
      </x:c>
      <x:c r="M748" t="str">
        <x:f>IF(L748="","",IF(N748="Yes","Strategic Legacy",IF(L748&lt;=90,"Active",IF(L748&lt;=180,"Monitor",IF(L748&lt;=365,"Slow-Moving",IF(L748&lt;=730,"Excess","Obsolete"))))))</x:f>
      </x:c>
    </x:row>
    <x:row r="749">
      <x:c r="A749" s="40"/>
      <x:c r="I749" s="42"/>
      <x:c r="J749" s="42" t="str">
        <x:f>IF(OR(H749="",I749=""),"",H749*I749)</x:f>
      </x:c>
      <x:c r="K749" s="40"/>
      <x:c r="L749" t="str">
        <x:f>IF(K749="","",A749-K749)</x:f>
      </x:c>
      <x:c r="M749" t="str">
        <x:f>IF(L749="","",IF(N749="Yes","Strategic Legacy",IF(L749&lt;=90,"Active",IF(L749&lt;=180,"Monitor",IF(L749&lt;=365,"Slow-Moving",IF(L749&lt;=730,"Excess","Obsolete"))))))</x:f>
      </x:c>
    </x:row>
    <x:row r="750">
      <x:c r="A750" s="40"/>
      <x:c r="I750" s="42"/>
      <x:c r="J750" s="42" t="str">
        <x:f>IF(OR(H750="",I750=""),"",H750*I750)</x:f>
      </x:c>
      <x:c r="K750" s="40"/>
      <x:c r="L750" t="str">
        <x:f>IF(K750="","",A750-K750)</x:f>
      </x:c>
      <x:c r="M750" t="str">
        <x:f>IF(L750="","",IF(N750="Yes","Strategic Legacy",IF(L750&lt;=90,"Active",IF(L750&lt;=180,"Monitor",IF(L750&lt;=365,"Slow-Moving",IF(L750&lt;=730,"Excess","Obsolete"))))))</x:f>
      </x:c>
    </x:row>
    <x:row r="751">
      <x:c r="A751" s="40"/>
      <x:c r="I751" s="42"/>
      <x:c r="J751" s="42" t="str">
        <x:f>IF(OR(H751="",I751=""),"",H751*I751)</x:f>
      </x:c>
      <x:c r="K751" s="40"/>
      <x:c r="L751" t="str">
        <x:f>IF(K751="","",A751-K751)</x:f>
      </x:c>
      <x:c r="M751" t="str">
        <x:f>IF(L751="","",IF(N751="Yes","Strategic Legacy",IF(L751&lt;=90,"Active",IF(L751&lt;=180,"Monitor",IF(L751&lt;=365,"Slow-Moving",IF(L751&lt;=730,"Excess","Obsolete"))))))</x:f>
      </x:c>
    </x:row>
    <x:row r="752">
      <x:c r="A752" s="40"/>
      <x:c r="I752" s="42"/>
      <x:c r="J752" s="42" t="str">
        <x:f>IF(OR(H752="",I752=""),"",H752*I752)</x:f>
      </x:c>
      <x:c r="K752" s="40"/>
      <x:c r="L752" t="str">
        <x:f>IF(K752="","",A752-K752)</x:f>
      </x:c>
      <x:c r="M752" t="str">
        <x:f>IF(L752="","",IF(N752="Yes","Strategic Legacy",IF(L752&lt;=90,"Active",IF(L752&lt;=180,"Monitor",IF(L752&lt;=365,"Slow-Moving",IF(L752&lt;=730,"Excess","Obsolete"))))))</x:f>
      </x:c>
    </x:row>
    <x:row r="753">
      <x:c r="A753" s="40"/>
      <x:c r="I753" s="42"/>
      <x:c r="J753" s="42" t="str">
        <x:f>IF(OR(H753="",I753=""),"",H753*I753)</x:f>
      </x:c>
      <x:c r="K753" s="40"/>
      <x:c r="L753" t="str">
        <x:f>IF(K753="","",A753-K753)</x:f>
      </x:c>
      <x:c r="M753" t="str">
        <x:f>IF(L753="","",IF(N753="Yes","Strategic Legacy",IF(L753&lt;=90,"Active",IF(L753&lt;=180,"Monitor",IF(L753&lt;=365,"Slow-Moving",IF(L753&lt;=730,"Excess","Obsolete"))))))</x:f>
      </x:c>
    </x:row>
    <x:row r="754">
      <x:c r="A754" s="40"/>
      <x:c r="I754" s="42"/>
      <x:c r="J754" s="42" t="str">
        <x:f>IF(OR(H754="",I754=""),"",H754*I754)</x:f>
      </x:c>
      <x:c r="K754" s="40"/>
      <x:c r="L754" t="str">
        <x:f>IF(K754="","",A754-K754)</x:f>
      </x:c>
      <x:c r="M754" t="str">
        <x:f>IF(L754="","",IF(N754="Yes","Strategic Legacy",IF(L754&lt;=90,"Active",IF(L754&lt;=180,"Monitor",IF(L754&lt;=365,"Slow-Moving",IF(L754&lt;=730,"Excess","Obsolete"))))))</x:f>
      </x:c>
    </x:row>
    <x:row r="755">
      <x:c r="A755" s="40"/>
      <x:c r="I755" s="42"/>
      <x:c r="J755" s="42" t="str">
        <x:f>IF(OR(H755="",I755=""),"",H755*I755)</x:f>
      </x:c>
      <x:c r="K755" s="40"/>
      <x:c r="L755" t="str">
        <x:f>IF(K755="","",A755-K755)</x:f>
      </x:c>
      <x:c r="M755" t="str">
        <x:f>IF(L755="","",IF(N755="Yes","Strategic Legacy",IF(L755&lt;=90,"Active",IF(L755&lt;=180,"Monitor",IF(L755&lt;=365,"Slow-Moving",IF(L755&lt;=730,"Excess","Obsolete"))))))</x:f>
      </x:c>
    </x:row>
    <x:row r="756">
      <x:c r="A756" s="40"/>
      <x:c r="I756" s="42"/>
      <x:c r="J756" s="42" t="str">
        <x:f>IF(OR(H756="",I756=""),"",H756*I756)</x:f>
      </x:c>
      <x:c r="K756" s="40"/>
      <x:c r="L756" t="str">
        <x:f>IF(K756="","",A756-K756)</x:f>
      </x:c>
      <x:c r="M756" t="str">
        <x:f>IF(L756="","",IF(N756="Yes","Strategic Legacy",IF(L756&lt;=90,"Active",IF(L756&lt;=180,"Monitor",IF(L756&lt;=365,"Slow-Moving",IF(L756&lt;=730,"Excess","Obsolete"))))))</x:f>
      </x:c>
    </x:row>
    <x:row r="757">
      <x:c r="A757" s="40"/>
      <x:c r="I757" s="42"/>
      <x:c r="J757" s="42" t="str">
        <x:f>IF(OR(H757="",I757=""),"",H757*I757)</x:f>
      </x:c>
      <x:c r="K757" s="40"/>
      <x:c r="L757" t="str">
        <x:f>IF(K757="","",A757-K757)</x:f>
      </x:c>
      <x:c r="M757" t="str">
        <x:f>IF(L757="","",IF(N757="Yes","Strategic Legacy",IF(L757&lt;=90,"Active",IF(L757&lt;=180,"Monitor",IF(L757&lt;=365,"Slow-Moving",IF(L757&lt;=730,"Excess","Obsolete"))))))</x:f>
      </x:c>
    </x:row>
    <x:row r="758">
      <x:c r="A758" s="40"/>
      <x:c r="I758" s="42"/>
      <x:c r="J758" s="42" t="str">
        <x:f>IF(OR(H758="",I758=""),"",H758*I758)</x:f>
      </x:c>
      <x:c r="K758" s="40"/>
      <x:c r="L758" t="str">
        <x:f>IF(K758="","",A758-K758)</x:f>
      </x:c>
      <x:c r="M758" t="str">
        <x:f>IF(L758="","",IF(N758="Yes","Strategic Legacy",IF(L758&lt;=90,"Active",IF(L758&lt;=180,"Monitor",IF(L758&lt;=365,"Slow-Moving",IF(L758&lt;=730,"Excess","Obsolete"))))))</x:f>
      </x:c>
    </x:row>
    <x:row r="759">
      <x:c r="A759" s="40"/>
      <x:c r="I759" s="42"/>
      <x:c r="J759" s="42" t="str">
        <x:f>IF(OR(H759="",I759=""),"",H759*I759)</x:f>
      </x:c>
      <x:c r="K759" s="40"/>
      <x:c r="L759" t="str">
        <x:f>IF(K759="","",A759-K759)</x:f>
      </x:c>
      <x:c r="M759" t="str">
        <x:f>IF(L759="","",IF(N759="Yes","Strategic Legacy",IF(L759&lt;=90,"Active",IF(L759&lt;=180,"Monitor",IF(L759&lt;=365,"Slow-Moving",IF(L759&lt;=730,"Excess","Obsolete"))))))</x:f>
      </x:c>
    </x:row>
    <x:row r="760">
      <x:c r="A760" s="40"/>
      <x:c r="I760" s="42"/>
      <x:c r="J760" s="42" t="str">
        <x:f>IF(OR(H760="",I760=""),"",H760*I760)</x:f>
      </x:c>
      <x:c r="K760" s="40"/>
      <x:c r="L760" t="str">
        <x:f>IF(K760="","",A760-K760)</x:f>
      </x:c>
      <x:c r="M760" t="str">
        <x:f>IF(L760="","",IF(N760="Yes","Strategic Legacy",IF(L760&lt;=90,"Active",IF(L760&lt;=180,"Monitor",IF(L760&lt;=365,"Slow-Moving",IF(L760&lt;=730,"Excess","Obsolete"))))))</x:f>
      </x:c>
    </x:row>
    <x:row r="761">
      <x:c r="A761" s="40"/>
      <x:c r="I761" s="42"/>
      <x:c r="J761" s="42" t="str">
        <x:f>IF(OR(H761="",I761=""),"",H761*I761)</x:f>
      </x:c>
      <x:c r="K761" s="40"/>
      <x:c r="L761" t="str">
        <x:f>IF(K761="","",A761-K761)</x:f>
      </x:c>
      <x:c r="M761" t="str">
        <x:f>IF(L761="","",IF(N761="Yes","Strategic Legacy",IF(L761&lt;=90,"Active",IF(L761&lt;=180,"Monitor",IF(L761&lt;=365,"Slow-Moving",IF(L761&lt;=730,"Excess","Obsolete"))))))</x:f>
      </x:c>
    </x:row>
    <x:row r="762">
      <x:c r="A762" s="40"/>
      <x:c r="I762" s="42"/>
      <x:c r="J762" s="42" t="str">
        <x:f>IF(OR(H762="",I762=""),"",H762*I762)</x:f>
      </x:c>
      <x:c r="K762" s="40"/>
      <x:c r="L762" t="str">
        <x:f>IF(K762="","",A762-K762)</x:f>
      </x:c>
      <x:c r="M762" t="str">
        <x:f>IF(L762="","",IF(N762="Yes","Strategic Legacy",IF(L762&lt;=90,"Active",IF(L762&lt;=180,"Monitor",IF(L762&lt;=365,"Slow-Moving",IF(L762&lt;=730,"Excess","Obsolete"))))))</x:f>
      </x:c>
    </x:row>
    <x:row r="763">
      <x:c r="A763" s="40"/>
      <x:c r="I763" s="42"/>
      <x:c r="J763" s="42" t="str">
        <x:f>IF(OR(H763="",I763=""),"",H763*I763)</x:f>
      </x:c>
      <x:c r="K763" s="40"/>
      <x:c r="L763" t="str">
        <x:f>IF(K763="","",A763-K763)</x:f>
      </x:c>
      <x:c r="M763" t="str">
        <x:f>IF(L763="","",IF(N763="Yes","Strategic Legacy",IF(L763&lt;=90,"Active",IF(L763&lt;=180,"Monitor",IF(L763&lt;=365,"Slow-Moving",IF(L763&lt;=730,"Excess","Obsolete"))))))</x:f>
      </x:c>
    </x:row>
    <x:row r="764">
      <x:c r="A764" s="40"/>
      <x:c r="I764" s="42"/>
      <x:c r="J764" s="42" t="str">
        <x:f>IF(OR(H764="",I764=""),"",H764*I764)</x:f>
      </x:c>
      <x:c r="K764" s="40"/>
      <x:c r="L764" t="str">
        <x:f>IF(K764="","",A764-K764)</x:f>
      </x:c>
      <x:c r="M764" t="str">
        <x:f>IF(L764="","",IF(N764="Yes","Strategic Legacy",IF(L764&lt;=90,"Active",IF(L764&lt;=180,"Monitor",IF(L764&lt;=365,"Slow-Moving",IF(L764&lt;=730,"Excess","Obsolete"))))))</x:f>
      </x:c>
    </x:row>
    <x:row r="765">
      <x:c r="A765" s="40"/>
      <x:c r="I765" s="42"/>
      <x:c r="J765" s="42" t="str">
        <x:f>IF(OR(H765="",I765=""),"",H765*I765)</x:f>
      </x:c>
      <x:c r="K765" s="40"/>
      <x:c r="L765" t="str">
        <x:f>IF(K765="","",A765-K765)</x:f>
      </x:c>
      <x:c r="M765" t="str">
        <x:f>IF(L765="","",IF(N765="Yes","Strategic Legacy",IF(L765&lt;=90,"Active",IF(L765&lt;=180,"Monitor",IF(L765&lt;=365,"Slow-Moving",IF(L765&lt;=730,"Excess","Obsolete"))))))</x:f>
      </x:c>
    </x:row>
    <x:row r="766">
      <x:c r="A766" s="40"/>
      <x:c r="I766" s="42"/>
      <x:c r="J766" s="42" t="str">
        <x:f>IF(OR(H766="",I766=""),"",H766*I766)</x:f>
      </x:c>
      <x:c r="K766" s="40"/>
      <x:c r="L766" t="str">
        <x:f>IF(K766="","",A766-K766)</x:f>
      </x:c>
      <x:c r="M766" t="str">
        <x:f>IF(L766="","",IF(N766="Yes","Strategic Legacy",IF(L766&lt;=90,"Active",IF(L766&lt;=180,"Monitor",IF(L766&lt;=365,"Slow-Moving",IF(L766&lt;=730,"Excess","Obsolete"))))))</x:f>
      </x:c>
    </x:row>
    <x:row r="767">
      <x:c r="A767" s="40"/>
      <x:c r="I767" s="42"/>
      <x:c r="J767" s="42" t="str">
        <x:f>IF(OR(H767="",I767=""),"",H767*I767)</x:f>
      </x:c>
      <x:c r="K767" s="40"/>
      <x:c r="L767" t="str">
        <x:f>IF(K767="","",A767-K767)</x:f>
      </x:c>
      <x:c r="M767" t="str">
        <x:f>IF(L767="","",IF(N767="Yes","Strategic Legacy",IF(L767&lt;=90,"Active",IF(L767&lt;=180,"Monitor",IF(L767&lt;=365,"Slow-Moving",IF(L767&lt;=730,"Excess","Obsolete"))))))</x:f>
      </x:c>
    </x:row>
    <x:row r="768">
      <x:c r="A768" s="40"/>
      <x:c r="I768" s="42"/>
      <x:c r="J768" s="42" t="str">
        <x:f>IF(OR(H768="",I768=""),"",H768*I768)</x:f>
      </x:c>
      <x:c r="K768" s="40"/>
      <x:c r="L768" t="str">
        <x:f>IF(K768="","",A768-K768)</x:f>
      </x:c>
      <x:c r="M768" t="str">
        <x:f>IF(L768="","",IF(N768="Yes","Strategic Legacy",IF(L768&lt;=90,"Active",IF(L768&lt;=180,"Monitor",IF(L768&lt;=365,"Slow-Moving",IF(L768&lt;=730,"Excess","Obsolete"))))))</x:f>
      </x:c>
    </x:row>
    <x:row r="769">
      <x:c r="A769" s="40"/>
      <x:c r="I769" s="42"/>
      <x:c r="J769" s="42" t="str">
        <x:f>IF(OR(H769="",I769=""),"",H769*I769)</x:f>
      </x:c>
      <x:c r="K769" s="40"/>
      <x:c r="L769" t="str">
        <x:f>IF(K769="","",A769-K769)</x:f>
      </x:c>
      <x:c r="M769" t="str">
        <x:f>IF(L769="","",IF(N769="Yes","Strategic Legacy",IF(L769&lt;=90,"Active",IF(L769&lt;=180,"Monitor",IF(L769&lt;=365,"Slow-Moving",IF(L769&lt;=730,"Excess","Obsolete"))))))</x:f>
      </x:c>
    </x:row>
    <x:row r="770">
      <x:c r="A770" s="40"/>
      <x:c r="I770" s="42"/>
      <x:c r="J770" s="42" t="str">
        <x:f>IF(OR(H770="",I770=""),"",H770*I770)</x:f>
      </x:c>
      <x:c r="K770" s="40"/>
      <x:c r="L770" t="str">
        <x:f>IF(K770="","",A770-K770)</x:f>
      </x:c>
      <x:c r="M770" t="str">
        <x:f>IF(L770="","",IF(N770="Yes","Strategic Legacy",IF(L770&lt;=90,"Active",IF(L770&lt;=180,"Monitor",IF(L770&lt;=365,"Slow-Moving",IF(L770&lt;=730,"Excess","Obsolete"))))))</x:f>
      </x:c>
    </x:row>
    <x:row r="771">
      <x:c r="A771" s="40"/>
      <x:c r="I771" s="42"/>
      <x:c r="J771" s="42" t="str">
        <x:f>IF(OR(H771="",I771=""),"",H771*I771)</x:f>
      </x:c>
      <x:c r="K771" s="40"/>
      <x:c r="L771" t="str">
        <x:f>IF(K771="","",A771-K771)</x:f>
      </x:c>
      <x:c r="M771" t="str">
        <x:f>IF(L771="","",IF(N771="Yes","Strategic Legacy",IF(L771&lt;=90,"Active",IF(L771&lt;=180,"Monitor",IF(L771&lt;=365,"Slow-Moving",IF(L771&lt;=730,"Excess","Obsolete"))))))</x:f>
      </x:c>
    </x:row>
    <x:row r="772">
      <x:c r="A772" s="40"/>
      <x:c r="I772" s="42"/>
      <x:c r="J772" s="42" t="str">
        <x:f>IF(OR(H772="",I772=""),"",H772*I772)</x:f>
      </x:c>
      <x:c r="K772" s="40"/>
      <x:c r="L772" t="str">
        <x:f>IF(K772="","",A772-K772)</x:f>
      </x:c>
      <x:c r="M772" t="str">
        <x:f>IF(L772="","",IF(N772="Yes","Strategic Legacy",IF(L772&lt;=90,"Active",IF(L772&lt;=180,"Monitor",IF(L772&lt;=365,"Slow-Moving",IF(L772&lt;=730,"Excess","Obsolete"))))))</x:f>
      </x:c>
    </x:row>
    <x:row r="773">
      <x:c r="A773" s="40"/>
      <x:c r="I773" s="42"/>
      <x:c r="J773" s="42" t="str">
        <x:f>IF(OR(H773="",I773=""),"",H773*I773)</x:f>
      </x:c>
      <x:c r="K773" s="40"/>
      <x:c r="L773" t="str">
        <x:f>IF(K773="","",A773-K773)</x:f>
      </x:c>
      <x:c r="M773" t="str">
        <x:f>IF(L773="","",IF(N773="Yes","Strategic Legacy",IF(L773&lt;=90,"Active",IF(L773&lt;=180,"Monitor",IF(L773&lt;=365,"Slow-Moving",IF(L773&lt;=730,"Excess","Obsolete"))))))</x:f>
      </x:c>
    </x:row>
    <x:row r="774">
      <x:c r="A774" s="40"/>
      <x:c r="I774" s="42"/>
      <x:c r="J774" s="42" t="str">
        <x:f>IF(OR(H774="",I774=""),"",H774*I774)</x:f>
      </x:c>
      <x:c r="K774" s="40"/>
      <x:c r="L774" t="str">
        <x:f>IF(K774="","",A774-K774)</x:f>
      </x:c>
      <x:c r="M774" t="str">
        <x:f>IF(L774="","",IF(N774="Yes","Strategic Legacy",IF(L774&lt;=90,"Active",IF(L774&lt;=180,"Monitor",IF(L774&lt;=365,"Slow-Moving",IF(L774&lt;=730,"Excess","Obsolete"))))))</x:f>
      </x:c>
    </x:row>
    <x:row r="775">
      <x:c r="A775" s="40"/>
      <x:c r="I775" s="42"/>
      <x:c r="J775" s="42" t="str">
        <x:f>IF(OR(H775="",I775=""),"",H775*I775)</x:f>
      </x:c>
      <x:c r="K775" s="40"/>
      <x:c r="L775" t="str">
        <x:f>IF(K775="","",A775-K775)</x:f>
      </x:c>
      <x:c r="M775" t="str">
        <x:f>IF(L775="","",IF(N775="Yes","Strategic Legacy",IF(L775&lt;=90,"Active",IF(L775&lt;=180,"Monitor",IF(L775&lt;=365,"Slow-Moving",IF(L775&lt;=730,"Excess","Obsolete"))))))</x:f>
      </x:c>
    </x:row>
    <x:row r="776">
      <x:c r="A776" s="40"/>
      <x:c r="I776" s="42"/>
      <x:c r="J776" s="42" t="str">
        <x:f>IF(OR(H776="",I776=""),"",H776*I776)</x:f>
      </x:c>
      <x:c r="K776" s="40"/>
      <x:c r="L776" t="str">
        <x:f>IF(K776="","",A776-K776)</x:f>
      </x:c>
      <x:c r="M776" t="str">
        <x:f>IF(L776="","",IF(N776="Yes","Strategic Legacy",IF(L776&lt;=90,"Active",IF(L776&lt;=180,"Monitor",IF(L776&lt;=365,"Slow-Moving",IF(L776&lt;=730,"Excess","Obsolete"))))))</x:f>
      </x:c>
    </x:row>
    <x:row r="777">
      <x:c r="A777" s="40"/>
      <x:c r="I777" s="42"/>
      <x:c r="J777" s="42" t="str">
        <x:f>IF(OR(H777="",I777=""),"",H777*I777)</x:f>
      </x:c>
      <x:c r="K777" s="40"/>
      <x:c r="L777" t="str">
        <x:f>IF(K777="","",A777-K777)</x:f>
      </x:c>
      <x:c r="M777" t="str">
        <x:f>IF(L777="","",IF(N777="Yes","Strategic Legacy",IF(L777&lt;=90,"Active",IF(L777&lt;=180,"Monitor",IF(L777&lt;=365,"Slow-Moving",IF(L777&lt;=730,"Excess","Obsolete"))))))</x:f>
      </x:c>
    </x:row>
    <x:row r="778">
      <x:c r="A778" s="40"/>
      <x:c r="I778" s="42"/>
      <x:c r="J778" s="42" t="str">
        <x:f>IF(OR(H778="",I778=""),"",H778*I778)</x:f>
      </x:c>
      <x:c r="K778" s="40"/>
      <x:c r="L778" t="str">
        <x:f>IF(K778="","",A778-K778)</x:f>
      </x:c>
      <x:c r="M778" t="str">
        <x:f>IF(L778="","",IF(N778="Yes","Strategic Legacy",IF(L778&lt;=90,"Active",IF(L778&lt;=180,"Monitor",IF(L778&lt;=365,"Slow-Moving",IF(L778&lt;=730,"Excess","Obsolete"))))))</x:f>
      </x:c>
    </x:row>
    <x:row r="779">
      <x:c r="A779" s="40"/>
      <x:c r="I779" s="42"/>
      <x:c r="J779" s="42" t="str">
        <x:f>IF(OR(H779="",I779=""),"",H779*I779)</x:f>
      </x:c>
      <x:c r="K779" s="40"/>
      <x:c r="L779" t="str">
        <x:f>IF(K779="","",A779-K779)</x:f>
      </x:c>
      <x:c r="M779" t="str">
        <x:f>IF(L779="","",IF(N779="Yes","Strategic Legacy",IF(L779&lt;=90,"Active",IF(L779&lt;=180,"Monitor",IF(L779&lt;=365,"Slow-Moving",IF(L779&lt;=730,"Excess","Obsolete"))))))</x:f>
      </x:c>
    </x:row>
    <x:row r="780">
      <x:c r="A780" s="40"/>
      <x:c r="I780" s="42"/>
      <x:c r="J780" s="42" t="str">
        <x:f>IF(OR(H780="",I780=""),"",H780*I780)</x:f>
      </x:c>
      <x:c r="K780" s="40"/>
      <x:c r="L780" t="str">
        <x:f>IF(K780="","",A780-K780)</x:f>
      </x:c>
      <x:c r="M780" t="str">
        <x:f>IF(L780="","",IF(N780="Yes","Strategic Legacy",IF(L780&lt;=90,"Active",IF(L780&lt;=180,"Monitor",IF(L780&lt;=365,"Slow-Moving",IF(L780&lt;=730,"Excess","Obsolete"))))))</x:f>
      </x:c>
    </x:row>
    <x:row r="781">
      <x:c r="A781" s="40"/>
      <x:c r="I781" s="42"/>
      <x:c r="J781" s="42" t="str">
        <x:f>IF(OR(H781="",I781=""),"",H781*I781)</x:f>
      </x:c>
      <x:c r="K781" s="40"/>
      <x:c r="L781" t="str">
        <x:f>IF(K781="","",A781-K781)</x:f>
      </x:c>
      <x:c r="M781" t="str">
        <x:f>IF(L781="","",IF(N781="Yes","Strategic Legacy",IF(L781&lt;=90,"Active",IF(L781&lt;=180,"Monitor",IF(L781&lt;=365,"Slow-Moving",IF(L781&lt;=730,"Excess","Obsolete"))))))</x:f>
      </x:c>
    </x:row>
    <x:row r="782">
      <x:c r="A782" s="40"/>
      <x:c r="I782" s="42"/>
      <x:c r="J782" s="42" t="str">
        <x:f>IF(OR(H782="",I782=""),"",H782*I782)</x:f>
      </x:c>
      <x:c r="K782" s="40"/>
      <x:c r="L782" t="str">
        <x:f>IF(K782="","",A782-K782)</x:f>
      </x:c>
      <x:c r="M782" t="str">
        <x:f>IF(L782="","",IF(N782="Yes","Strategic Legacy",IF(L782&lt;=90,"Active",IF(L782&lt;=180,"Monitor",IF(L782&lt;=365,"Slow-Moving",IF(L782&lt;=730,"Excess","Obsolete"))))))</x:f>
      </x:c>
    </x:row>
    <x:row r="783">
      <x:c r="A783" s="40"/>
      <x:c r="I783" s="42"/>
      <x:c r="J783" s="42" t="str">
        <x:f>IF(OR(H783="",I783=""),"",H783*I783)</x:f>
      </x:c>
      <x:c r="K783" s="40"/>
      <x:c r="L783" t="str">
        <x:f>IF(K783="","",A783-K783)</x:f>
      </x:c>
      <x:c r="M783" t="str">
        <x:f>IF(L783="","",IF(N783="Yes","Strategic Legacy",IF(L783&lt;=90,"Active",IF(L783&lt;=180,"Monitor",IF(L783&lt;=365,"Slow-Moving",IF(L783&lt;=730,"Excess","Obsolete"))))))</x:f>
      </x:c>
    </x:row>
    <x:row r="784">
      <x:c r="A784" s="40"/>
      <x:c r="I784" s="42"/>
      <x:c r="J784" s="42" t="str">
        <x:f>IF(OR(H784="",I784=""),"",H784*I784)</x:f>
      </x:c>
      <x:c r="K784" s="40"/>
      <x:c r="L784" t="str">
        <x:f>IF(K784="","",A784-K784)</x:f>
      </x:c>
      <x:c r="M784" t="str">
        <x:f>IF(L784="","",IF(N784="Yes","Strategic Legacy",IF(L784&lt;=90,"Active",IF(L784&lt;=180,"Monitor",IF(L784&lt;=365,"Slow-Moving",IF(L784&lt;=730,"Excess","Obsolete"))))))</x:f>
      </x:c>
    </x:row>
    <x:row r="785">
      <x:c r="A785" s="40"/>
      <x:c r="I785" s="42"/>
      <x:c r="J785" s="42" t="str">
        <x:f>IF(OR(H785="",I785=""),"",H785*I785)</x:f>
      </x:c>
      <x:c r="K785" s="40"/>
      <x:c r="L785" t="str">
        <x:f>IF(K785="","",A785-K785)</x:f>
      </x:c>
      <x:c r="M785" t="str">
        <x:f>IF(L785="","",IF(N785="Yes","Strategic Legacy",IF(L785&lt;=90,"Active",IF(L785&lt;=180,"Monitor",IF(L785&lt;=365,"Slow-Moving",IF(L785&lt;=730,"Excess","Obsolete"))))))</x:f>
      </x:c>
    </x:row>
    <x:row r="786">
      <x:c r="A786" s="40"/>
      <x:c r="I786" s="42"/>
      <x:c r="J786" s="42" t="str">
        <x:f>IF(OR(H786="",I786=""),"",H786*I786)</x:f>
      </x:c>
      <x:c r="K786" s="40"/>
      <x:c r="L786" t="str">
        <x:f>IF(K786="","",A786-K786)</x:f>
      </x:c>
      <x:c r="M786" t="str">
        <x:f>IF(L786="","",IF(N786="Yes","Strategic Legacy",IF(L786&lt;=90,"Active",IF(L786&lt;=180,"Monitor",IF(L786&lt;=365,"Slow-Moving",IF(L786&lt;=730,"Excess","Obsolete"))))))</x:f>
      </x:c>
    </x:row>
    <x:row r="787">
      <x:c r="A787" s="40"/>
      <x:c r="I787" s="42"/>
      <x:c r="J787" s="42" t="str">
        <x:f>IF(OR(H787="",I787=""),"",H787*I787)</x:f>
      </x:c>
      <x:c r="K787" s="40"/>
      <x:c r="L787" t="str">
        <x:f>IF(K787="","",A787-K787)</x:f>
      </x:c>
      <x:c r="M787" t="str">
        <x:f>IF(L787="","",IF(N787="Yes","Strategic Legacy",IF(L787&lt;=90,"Active",IF(L787&lt;=180,"Monitor",IF(L787&lt;=365,"Slow-Moving",IF(L787&lt;=730,"Excess","Obsolete"))))))</x:f>
      </x:c>
    </x:row>
    <x:row r="788">
      <x:c r="A788" s="40"/>
      <x:c r="I788" s="42"/>
      <x:c r="J788" s="42" t="str">
        <x:f>IF(OR(H788="",I788=""),"",H788*I788)</x:f>
      </x:c>
      <x:c r="K788" s="40"/>
      <x:c r="L788" t="str">
        <x:f>IF(K788="","",A788-K788)</x:f>
      </x:c>
      <x:c r="M788" t="str">
        <x:f>IF(L788="","",IF(N788="Yes","Strategic Legacy",IF(L788&lt;=90,"Active",IF(L788&lt;=180,"Monitor",IF(L788&lt;=365,"Slow-Moving",IF(L788&lt;=730,"Excess","Obsolete"))))))</x:f>
      </x:c>
    </x:row>
    <x:row r="789">
      <x:c r="A789" s="40"/>
      <x:c r="I789" s="42"/>
      <x:c r="J789" s="42" t="str">
        <x:f>IF(OR(H789="",I789=""),"",H789*I789)</x:f>
      </x:c>
      <x:c r="K789" s="40"/>
      <x:c r="L789" t="str">
        <x:f>IF(K789="","",A789-K789)</x:f>
      </x:c>
      <x:c r="M789" t="str">
        <x:f>IF(L789="","",IF(N789="Yes","Strategic Legacy",IF(L789&lt;=90,"Active",IF(L789&lt;=180,"Monitor",IF(L789&lt;=365,"Slow-Moving",IF(L789&lt;=730,"Excess","Obsolete"))))))</x:f>
      </x:c>
    </x:row>
    <x:row r="790">
      <x:c r="A790" s="40"/>
      <x:c r="I790" s="42"/>
      <x:c r="J790" s="42" t="str">
        <x:f>IF(OR(H790="",I790=""),"",H790*I790)</x:f>
      </x:c>
      <x:c r="K790" s="40"/>
      <x:c r="L790" t="str">
        <x:f>IF(K790="","",A790-K790)</x:f>
      </x:c>
      <x:c r="M790" t="str">
        <x:f>IF(L790="","",IF(N790="Yes","Strategic Legacy",IF(L790&lt;=90,"Active",IF(L790&lt;=180,"Monitor",IF(L790&lt;=365,"Slow-Moving",IF(L790&lt;=730,"Excess","Obsolete"))))))</x:f>
      </x:c>
    </x:row>
    <x:row r="791">
      <x:c r="A791" s="40"/>
      <x:c r="I791" s="42"/>
      <x:c r="J791" s="42" t="str">
        <x:f>IF(OR(H791="",I791=""),"",H791*I791)</x:f>
      </x:c>
      <x:c r="K791" s="40"/>
      <x:c r="L791" t="str">
        <x:f>IF(K791="","",A791-K791)</x:f>
      </x:c>
      <x:c r="M791" t="str">
        <x:f>IF(L791="","",IF(N791="Yes","Strategic Legacy",IF(L791&lt;=90,"Active",IF(L791&lt;=180,"Monitor",IF(L791&lt;=365,"Slow-Moving",IF(L791&lt;=730,"Excess","Obsolete"))))))</x:f>
      </x:c>
    </x:row>
    <x:row r="792">
      <x:c r="A792" s="40"/>
      <x:c r="I792" s="42"/>
      <x:c r="J792" s="42" t="str">
        <x:f>IF(OR(H792="",I792=""),"",H792*I792)</x:f>
      </x:c>
      <x:c r="K792" s="40"/>
      <x:c r="L792" t="str">
        <x:f>IF(K792="","",A792-K792)</x:f>
      </x:c>
      <x:c r="M792" t="str">
        <x:f>IF(L792="","",IF(N792="Yes","Strategic Legacy",IF(L792&lt;=90,"Active",IF(L792&lt;=180,"Monitor",IF(L792&lt;=365,"Slow-Moving",IF(L792&lt;=730,"Excess","Obsolete"))))))</x:f>
      </x:c>
    </x:row>
    <x:row r="793">
      <x:c r="A793" s="40"/>
      <x:c r="I793" s="42"/>
      <x:c r="J793" s="42" t="str">
        <x:f>IF(OR(H793="",I793=""),"",H793*I793)</x:f>
      </x:c>
      <x:c r="K793" s="40"/>
      <x:c r="L793" t="str">
        <x:f>IF(K793="","",A793-K793)</x:f>
      </x:c>
      <x:c r="M793" t="str">
        <x:f>IF(L793="","",IF(N793="Yes","Strategic Legacy",IF(L793&lt;=90,"Active",IF(L793&lt;=180,"Monitor",IF(L793&lt;=365,"Slow-Moving",IF(L793&lt;=730,"Excess","Obsolete"))))))</x:f>
      </x:c>
    </x:row>
    <x:row r="794">
      <x:c r="A794" s="40"/>
      <x:c r="I794" s="42"/>
      <x:c r="J794" s="42" t="str">
        <x:f>IF(OR(H794="",I794=""),"",H794*I794)</x:f>
      </x:c>
      <x:c r="K794" s="40"/>
      <x:c r="L794" t="str">
        <x:f>IF(K794="","",A794-K794)</x:f>
      </x:c>
      <x:c r="M794" t="str">
        <x:f>IF(L794="","",IF(N794="Yes","Strategic Legacy",IF(L794&lt;=90,"Active",IF(L794&lt;=180,"Monitor",IF(L794&lt;=365,"Slow-Moving",IF(L794&lt;=730,"Excess","Obsolete"))))))</x:f>
      </x:c>
    </x:row>
    <x:row r="795">
      <x:c r="A795" s="40"/>
      <x:c r="I795" s="42"/>
      <x:c r="J795" s="42" t="str">
        <x:f>IF(OR(H795="",I795=""),"",H795*I795)</x:f>
      </x:c>
      <x:c r="K795" s="40"/>
      <x:c r="L795" t="str">
        <x:f>IF(K795="","",A795-K795)</x:f>
      </x:c>
      <x:c r="M795" t="str">
        <x:f>IF(L795="","",IF(N795="Yes","Strategic Legacy",IF(L795&lt;=90,"Active",IF(L795&lt;=180,"Monitor",IF(L795&lt;=365,"Slow-Moving",IF(L795&lt;=730,"Excess","Obsolete"))))))</x:f>
      </x:c>
    </x:row>
    <x:row r="796">
      <x:c r="A796" s="40"/>
      <x:c r="I796" s="42"/>
      <x:c r="J796" s="42" t="str">
        <x:f>IF(OR(H796="",I796=""),"",H796*I796)</x:f>
      </x:c>
      <x:c r="K796" s="40"/>
      <x:c r="L796" t="str">
        <x:f>IF(K796="","",A796-K796)</x:f>
      </x:c>
      <x:c r="M796" t="str">
        <x:f>IF(L796="","",IF(N796="Yes","Strategic Legacy",IF(L796&lt;=90,"Active",IF(L796&lt;=180,"Monitor",IF(L796&lt;=365,"Slow-Moving",IF(L796&lt;=730,"Excess","Obsolete"))))))</x:f>
      </x:c>
    </x:row>
    <x:row r="797">
      <x:c r="A797" s="40"/>
      <x:c r="I797" s="42"/>
      <x:c r="J797" s="42" t="str">
        <x:f>IF(OR(H797="",I797=""),"",H797*I797)</x:f>
      </x:c>
      <x:c r="K797" s="40"/>
      <x:c r="L797" t="str">
        <x:f>IF(K797="","",A797-K797)</x:f>
      </x:c>
      <x:c r="M797" t="str">
        <x:f>IF(L797="","",IF(N797="Yes","Strategic Legacy",IF(L797&lt;=90,"Active",IF(L797&lt;=180,"Monitor",IF(L797&lt;=365,"Slow-Moving",IF(L797&lt;=730,"Excess","Obsolete"))))))</x:f>
      </x:c>
    </x:row>
    <x:row r="798">
      <x:c r="A798" s="40"/>
      <x:c r="I798" s="42"/>
      <x:c r="J798" s="42" t="str">
        <x:f>IF(OR(H798="",I798=""),"",H798*I798)</x:f>
      </x:c>
      <x:c r="K798" s="40"/>
      <x:c r="L798" t="str">
        <x:f>IF(K798="","",A798-K798)</x:f>
      </x:c>
      <x:c r="M798" t="str">
        <x:f>IF(L798="","",IF(N798="Yes","Strategic Legacy",IF(L798&lt;=90,"Active",IF(L798&lt;=180,"Monitor",IF(L798&lt;=365,"Slow-Moving",IF(L798&lt;=730,"Excess","Obsolete"))))))</x:f>
      </x:c>
    </x:row>
    <x:row r="799">
      <x:c r="A799" s="40"/>
      <x:c r="I799" s="42"/>
      <x:c r="J799" s="42" t="str">
        <x:f>IF(OR(H799="",I799=""),"",H799*I799)</x:f>
      </x:c>
      <x:c r="K799" s="40"/>
      <x:c r="L799" t="str">
        <x:f>IF(K799="","",A799-K799)</x:f>
      </x:c>
      <x:c r="M799" t="str">
        <x:f>IF(L799="","",IF(N799="Yes","Strategic Legacy",IF(L799&lt;=90,"Active",IF(L799&lt;=180,"Monitor",IF(L799&lt;=365,"Slow-Moving",IF(L799&lt;=730,"Excess","Obsolete"))))))</x:f>
      </x:c>
    </x:row>
    <x:row r="800">
      <x:c r="A800" s="40"/>
      <x:c r="I800" s="42"/>
      <x:c r="J800" s="42" t="str">
        <x:f>IF(OR(H800="",I800=""),"",H800*I800)</x:f>
      </x:c>
      <x:c r="K800" s="40"/>
      <x:c r="L800" t="str">
        <x:f>IF(K800="","",A800-K800)</x:f>
      </x:c>
      <x:c r="M800" t="str">
        <x:f>IF(L800="","",IF(N800="Yes","Strategic Legacy",IF(L800&lt;=90,"Active",IF(L800&lt;=180,"Monitor",IF(L800&lt;=365,"Slow-Moving",IF(L800&lt;=730,"Excess","Obsolete"))))))</x:f>
      </x:c>
    </x:row>
    <x:row r="801">
      <x:c r="A801" s="40"/>
      <x:c r="I801" s="42"/>
      <x:c r="J801" s="42" t="str">
        <x:f>IF(OR(H801="",I801=""),"",H801*I801)</x:f>
      </x:c>
      <x:c r="K801" s="40"/>
      <x:c r="L801" t="str">
        <x:f>IF(K801="","",A801-K801)</x:f>
      </x:c>
      <x:c r="M801" t="str">
        <x:f>IF(L801="","",IF(N801="Yes","Strategic Legacy",IF(L801&lt;=90,"Active",IF(L801&lt;=180,"Monitor",IF(L801&lt;=365,"Slow-Moving",IF(L801&lt;=730,"Excess","Obsolete"))))))</x:f>
      </x:c>
    </x:row>
    <x:row r="802">
      <x:c r="A802" s="40"/>
      <x:c r="I802" s="42"/>
      <x:c r="J802" s="42" t="str">
        <x:f>IF(OR(H802="",I802=""),"",H802*I802)</x:f>
      </x:c>
      <x:c r="K802" s="40"/>
      <x:c r="L802" t="str">
        <x:f>IF(K802="","",A802-K802)</x:f>
      </x:c>
      <x:c r="M802" t="str">
        <x:f>IF(L802="","",IF(N802="Yes","Strategic Legacy",IF(L802&lt;=90,"Active",IF(L802&lt;=180,"Monitor",IF(L802&lt;=365,"Slow-Moving",IF(L802&lt;=730,"Excess","Obsolete"))))))</x:f>
      </x:c>
    </x:row>
    <x:row r="803">
      <x:c r="A803" s="40"/>
      <x:c r="I803" s="42"/>
      <x:c r="J803" s="42" t="str">
        <x:f>IF(OR(H803="",I803=""),"",H803*I803)</x:f>
      </x:c>
      <x:c r="K803" s="40"/>
      <x:c r="L803" t="str">
        <x:f>IF(K803="","",A803-K803)</x:f>
      </x:c>
      <x:c r="M803" t="str">
        <x:f>IF(L803="","",IF(N803="Yes","Strategic Legacy",IF(L803&lt;=90,"Active",IF(L803&lt;=180,"Monitor",IF(L803&lt;=365,"Slow-Moving",IF(L803&lt;=730,"Excess","Obsolete"))))))</x:f>
      </x:c>
    </x:row>
    <x:row r="804">
      <x:c r="A804" s="40"/>
      <x:c r="I804" s="42"/>
      <x:c r="J804" s="42" t="str">
        <x:f>IF(OR(H804="",I804=""),"",H804*I804)</x:f>
      </x:c>
      <x:c r="K804" s="40"/>
      <x:c r="L804" t="str">
        <x:f>IF(K804="","",A804-K804)</x:f>
      </x:c>
      <x:c r="M804" t="str">
        <x:f>IF(L804="","",IF(N804="Yes","Strategic Legacy",IF(L804&lt;=90,"Active",IF(L804&lt;=180,"Monitor",IF(L804&lt;=365,"Slow-Moving",IF(L804&lt;=730,"Excess","Obsolete"))))))</x:f>
      </x:c>
    </x:row>
    <x:row r="805">
      <x:c r="A805" s="40"/>
      <x:c r="I805" s="42"/>
      <x:c r="J805" s="42" t="str">
        <x:f>IF(OR(H805="",I805=""),"",H805*I805)</x:f>
      </x:c>
      <x:c r="K805" s="40"/>
      <x:c r="L805" t="str">
        <x:f>IF(K805="","",A805-K805)</x:f>
      </x:c>
      <x:c r="M805" t="str">
        <x:f>IF(L805="","",IF(N805="Yes","Strategic Legacy",IF(L805&lt;=90,"Active",IF(L805&lt;=180,"Monitor",IF(L805&lt;=365,"Slow-Moving",IF(L805&lt;=730,"Excess","Obsolete"))))))</x:f>
      </x:c>
    </x:row>
    <x:row r="806">
      <x:c r="A806" s="40"/>
      <x:c r="I806" s="42"/>
      <x:c r="J806" s="42" t="str">
        <x:f>IF(OR(H806="",I806=""),"",H806*I806)</x:f>
      </x:c>
      <x:c r="K806" s="40"/>
      <x:c r="L806" t="str">
        <x:f>IF(K806="","",A806-K806)</x:f>
      </x:c>
      <x:c r="M806" t="str">
        <x:f>IF(L806="","",IF(N806="Yes","Strategic Legacy",IF(L806&lt;=90,"Active",IF(L806&lt;=180,"Monitor",IF(L806&lt;=365,"Slow-Moving",IF(L806&lt;=730,"Excess","Obsolete"))))))</x:f>
      </x:c>
    </x:row>
    <x:row r="807">
      <x:c r="A807" s="40"/>
      <x:c r="I807" s="42"/>
      <x:c r="J807" s="42" t="str">
        <x:f>IF(OR(H807="",I807=""),"",H807*I807)</x:f>
      </x:c>
      <x:c r="K807" s="40"/>
      <x:c r="L807" t="str">
        <x:f>IF(K807="","",A807-K807)</x:f>
      </x:c>
      <x:c r="M807" t="str">
        <x:f>IF(L807="","",IF(N807="Yes","Strategic Legacy",IF(L807&lt;=90,"Active",IF(L807&lt;=180,"Monitor",IF(L807&lt;=365,"Slow-Moving",IF(L807&lt;=730,"Excess","Obsolete"))))))</x:f>
      </x:c>
    </x:row>
    <x:row r="808">
      <x:c r="A808" s="40"/>
      <x:c r="I808" s="42"/>
      <x:c r="J808" s="42" t="str">
        <x:f>IF(OR(H808="",I808=""),"",H808*I808)</x:f>
      </x:c>
      <x:c r="K808" s="40"/>
      <x:c r="L808" t="str">
        <x:f>IF(K808="","",A808-K808)</x:f>
      </x:c>
      <x:c r="M808" t="str">
        <x:f>IF(L808="","",IF(N808="Yes","Strategic Legacy",IF(L808&lt;=90,"Active",IF(L808&lt;=180,"Monitor",IF(L808&lt;=365,"Slow-Moving",IF(L808&lt;=730,"Excess","Obsolete"))))))</x:f>
      </x:c>
    </x:row>
    <x:row r="809">
      <x:c r="A809" s="40"/>
      <x:c r="I809" s="42"/>
      <x:c r="J809" s="42" t="str">
        <x:f>IF(OR(H809="",I809=""),"",H809*I809)</x:f>
      </x:c>
      <x:c r="K809" s="40"/>
      <x:c r="L809" t="str">
        <x:f>IF(K809="","",A809-K809)</x:f>
      </x:c>
      <x:c r="M809" t="str">
        <x:f>IF(L809="","",IF(N809="Yes","Strategic Legacy",IF(L809&lt;=90,"Active",IF(L809&lt;=180,"Monitor",IF(L809&lt;=365,"Slow-Moving",IF(L809&lt;=730,"Excess","Obsolete"))))))</x:f>
      </x:c>
    </x:row>
    <x:row r="810">
      <x:c r="A810" s="40"/>
      <x:c r="I810" s="42"/>
      <x:c r="J810" s="42" t="str">
        <x:f>IF(OR(H810="",I810=""),"",H810*I810)</x:f>
      </x:c>
      <x:c r="K810" s="40"/>
      <x:c r="L810" t="str">
        <x:f>IF(K810="","",A810-K810)</x:f>
      </x:c>
      <x:c r="M810" t="str">
        <x:f>IF(L810="","",IF(N810="Yes","Strategic Legacy",IF(L810&lt;=90,"Active",IF(L810&lt;=180,"Monitor",IF(L810&lt;=365,"Slow-Moving",IF(L810&lt;=730,"Excess","Obsolete"))))))</x:f>
      </x:c>
    </x:row>
    <x:row r="811">
      <x:c r="A811" s="40"/>
      <x:c r="I811" s="42"/>
      <x:c r="J811" s="42" t="str">
        <x:f>IF(OR(H811="",I811=""),"",H811*I811)</x:f>
      </x:c>
      <x:c r="K811" s="40"/>
      <x:c r="L811" t="str">
        <x:f>IF(K811="","",A811-K811)</x:f>
      </x:c>
      <x:c r="M811" t="str">
        <x:f>IF(L811="","",IF(N811="Yes","Strategic Legacy",IF(L811&lt;=90,"Active",IF(L811&lt;=180,"Monitor",IF(L811&lt;=365,"Slow-Moving",IF(L811&lt;=730,"Excess","Obsolete"))))))</x:f>
      </x:c>
    </x:row>
    <x:row r="812">
      <x:c r="A812" s="40"/>
      <x:c r="I812" s="42"/>
      <x:c r="J812" s="42" t="str">
        <x:f>IF(OR(H812="",I812=""),"",H812*I812)</x:f>
      </x:c>
      <x:c r="K812" s="40"/>
      <x:c r="L812" t="str">
        <x:f>IF(K812="","",A812-K812)</x:f>
      </x:c>
      <x:c r="M812" t="str">
        <x:f>IF(L812="","",IF(N812="Yes","Strategic Legacy",IF(L812&lt;=90,"Active",IF(L812&lt;=180,"Monitor",IF(L812&lt;=365,"Slow-Moving",IF(L812&lt;=730,"Excess","Obsolete"))))))</x:f>
      </x:c>
    </x:row>
    <x:row r="813">
      <x:c r="A813" s="40"/>
      <x:c r="I813" s="42"/>
      <x:c r="J813" s="42" t="str">
        <x:f>IF(OR(H813="",I813=""),"",H813*I813)</x:f>
      </x:c>
      <x:c r="K813" s="40"/>
      <x:c r="L813" t="str">
        <x:f>IF(K813="","",A813-K813)</x:f>
      </x:c>
      <x:c r="M813" t="str">
        <x:f>IF(L813="","",IF(N813="Yes","Strategic Legacy",IF(L813&lt;=90,"Active",IF(L813&lt;=180,"Monitor",IF(L813&lt;=365,"Slow-Moving",IF(L813&lt;=730,"Excess","Obsolete"))))))</x:f>
      </x:c>
    </x:row>
    <x:row r="814">
      <x:c r="A814" s="40"/>
      <x:c r="I814" s="42"/>
      <x:c r="J814" s="42" t="str">
        <x:f>IF(OR(H814="",I814=""),"",H814*I814)</x:f>
      </x:c>
      <x:c r="K814" s="40"/>
      <x:c r="L814" t="str">
        <x:f>IF(K814="","",A814-K814)</x:f>
      </x:c>
      <x:c r="M814" t="str">
        <x:f>IF(L814="","",IF(N814="Yes","Strategic Legacy",IF(L814&lt;=90,"Active",IF(L814&lt;=180,"Monitor",IF(L814&lt;=365,"Slow-Moving",IF(L814&lt;=730,"Excess","Obsolete"))))))</x:f>
      </x:c>
    </x:row>
    <x:row r="815">
      <x:c r="A815" s="40"/>
      <x:c r="I815" s="42"/>
      <x:c r="J815" s="42" t="str">
        <x:f>IF(OR(H815="",I815=""),"",H815*I815)</x:f>
      </x:c>
      <x:c r="K815" s="40"/>
      <x:c r="L815" t="str">
        <x:f>IF(K815="","",A815-K815)</x:f>
      </x:c>
      <x:c r="M815" t="str">
        <x:f>IF(L815="","",IF(N815="Yes","Strategic Legacy",IF(L815&lt;=90,"Active",IF(L815&lt;=180,"Monitor",IF(L815&lt;=365,"Slow-Moving",IF(L815&lt;=730,"Excess","Obsolete"))))))</x:f>
      </x:c>
    </x:row>
    <x:row r="816">
      <x:c r="A816" s="40"/>
      <x:c r="I816" s="42"/>
      <x:c r="J816" s="42" t="str">
        <x:f>IF(OR(H816="",I816=""),"",H816*I816)</x:f>
      </x:c>
      <x:c r="K816" s="40"/>
      <x:c r="L816" t="str">
        <x:f>IF(K816="","",A816-K816)</x:f>
      </x:c>
      <x:c r="M816" t="str">
        <x:f>IF(L816="","",IF(N816="Yes","Strategic Legacy",IF(L816&lt;=90,"Active",IF(L816&lt;=180,"Monitor",IF(L816&lt;=365,"Slow-Moving",IF(L816&lt;=730,"Excess","Obsolete"))))))</x:f>
      </x:c>
    </x:row>
    <x:row r="817">
      <x:c r="A817" s="40"/>
      <x:c r="I817" s="42"/>
      <x:c r="J817" s="42" t="str">
        <x:f>IF(OR(H817="",I817=""),"",H817*I817)</x:f>
      </x:c>
      <x:c r="K817" s="40"/>
      <x:c r="L817" t="str">
        <x:f>IF(K817="","",A817-K817)</x:f>
      </x:c>
      <x:c r="M817" t="str">
        <x:f>IF(L817="","",IF(N817="Yes","Strategic Legacy",IF(L817&lt;=90,"Active",IF(L817&lt;=180,"Monitor",IF(L817&lt;=365,"Slow-Moving",IF(L817&lt;=730,"Excess","Obsolete"))))))</x:f>
      </x:c>
    </x:row>
    <x:row r="818">
      <x:c r="A818" s="40"/>
      <x:c r="I818" s="42"/>
      <x:c r="J818" s="42" t="str">
        <x:f>IF(OR(H818="",I818=""),"",H818*I818)</x:f>
      </x:c>
      <x:c r="K818" s="40"/>
      <x:c r="L818" t="str">
        <x:f>IF(K818="","",A818-K818)</x:f>
      </x:c>
      <x:c r="M818" t="str">
        <x:f>IF(L818="","",IF(N818="Yes","Strategic Legacy",IF(L818&lt;=90,"Active",IF(L818&lt;=180,"Monitor",IF(L818&lt;=365,"Slow-Moving",IF(L818&lt;=730,"Excess","Obsolete"))))))</x:f>
      </x:c>
    </x:row>
    <x:row r="819">
      <x:c r="A819" s="40"/>
      <x:c r="I819" s="42"/>
      <x:c r="J819" s="42" t="str">
        <x:f>IF(OR(H819="",I819=""),"",H819*I819)</x:f>
      </x:c>
      <x:c r="K819" s="40"/>
      <x:c r="L819" t="str">
        <x:f>IF(K819="","",A819-K819)</x:f>
      </x:c>
      <x:c r="M819" t="str">
        <x:f>IF(L819="","",IF(N819="Yes","Strategic Legacy",IF(L819&lt;=90,"Active",IF(L819&lt;=180,"Monitor",IF(L819&lt;=365,"Slow-Moving",IF(L819&lt;=730,"Excess","Obsolete"))))))</x:f>
      </x:c>
    </x:row>
    <x:row r="820">
      <x:c r="A820" s="40"/>
      <x:c r="I820" s="42"/>
      <x:c r="J820" s="42" t="str">
        <x:f>IF(OR(H820="",I820=""),"",H820*I820)</x:f>
      </x:c>
      <x:c r="K820" s="40"/>
      <x:c r="L820" t="str">
        <x:f>IF(K820="","",A820-K820)</x:f>
      </x:c>
      <x:c r="M820" t="str">
        <x:f>IF(L820="","",IF(N820="Yes","Strategic Legacy",IF(L820&lt;=90,"Active",IF(L820&lt;=180,"Monitor",IF(L820&lt;=365,"Slow-Moving",IF(L820&lt;=730,"Excess","Obsolete"))))))</x:f>
      </x:c>
    </x:row>
    <x:row r="821">
      <x:c r="A821" s="40"/>
      <x:c r="I821" s="42"/>
      <x:c r="J821" s="42" t="str">
        <x:f>IF(OR(H821="",I821=""),"",H821*I821)</x:f>
      </x:c>
      <x:c r="K821" s="40"/>
      <x:c r="L821" t="str">
        <x:f>IF(K821="","",A821-K821)</x:f>
      </x:c>
      <x:c r="M821" t="str">
        <x:f>IF(L821="","",IF(N821="Yes","Strategic Legacy",IF(L821&lt;=90,"Active",IF(L821&lt;=180,"Monitor",IF(L821&lt;=365,"Slow-Moving",IF(L821&lt;=730,"Excess","Obsolete"))))))</x:f>
      </x:c>
    </x:row>
    <x:row r="822">
      <x:c r="A822" s="40"/>
      <x:c r="I822" s="42"/>
      <x:c r="J822" s="42" t="str">
        <x:f>IF(OR(H822="",I822=""),"",H822*I822)</x:f>
      </x:c>
      <x:c r="K822" s="40"/>
      <x:c r="L822" t="str">
        <x:f>IF(K822="","",A822-K822)</x:f>
      </x:c>
      <x:c r="M822" t="str">
        <x:f>IF(L822="","",IF(N822="Yes","Strategic Legacy",IF(L822&lt;=90,"Active",IF(L822&lt;=180,"Monitor",IF(L822&lt;=365,"Slow-Moving",IF(L822&lt;=730,"Excess","Obsolete"))))))</x:f>
      </x:c>
    </x:row>
    <x:row r="823">
      <x:c r="A823" s="40"/>
      <x:c r="I823" s="42"/>
      <x:c r="J823" s="42" t="str">
        <x:f>IF(OR(H823="",I823=""),"",H823*I823)</x:f>
      </x:c>
      <x:c r="K823" s="40"/>
      <x:c r="L823" t="str">
        <x:f>IF(K823="","",A823-K823)</x:f>
      </x:c>
      <x:c r="M823" t="str">
        <x:f>IF(L823="","",IF(N823="Yes","Strategic Legacy",IF(L823&lt;=90,"Active",IF(L823&lt;=180,"Monitor",IF(L823&lt;=365,"Slow-Moving",IF(L823&lt;=730,"Excess","Obsolete"))))))</x:f>
      </x:c>
    </x:row>
    <x:row r="824">
      <x:c r="A824" s="40"/>
      <x:c r="I824" s="42"/>
      <x:c r="J824" s="42" t="str">
        <x:f>IF(OR(H824="",I824=""),"",H824*I824)</x:f>
      </x:c>
      <x:c r="K824" s="40"/>
      <x:c r="L824" t="str">
        <x:f>IF(K824="","",A824-K824)</x:f>
      </x:c>
      <x:c r="M824" t="str">
        <x:f>IF(L824="","",IF(N824="Yes","Strategic Legacy",IF(L824&lt;=90,"Active",IF(L824&lt;=180,"Monitor",IF(L824&lt;=365,"Slow-Moving",IF(L824&lt;=730,"Excess","Obsolete"))))))</x:f>
      </x:c>
    </x:row>
    <x:row r="825">
      <x:c r="A825" s="40"/>
      <x:c r="I825" s="42"/>
      <x:c r="J825" s="42" t="str">
        <x:f>IF(OR(H825="",I825=""),"",H825*I825)</x:f>
      </x:c>
      <x:c r="K825" s="40"/>
      <x:c r="L825" t="str">
        <x:f>IF(K825="","",A825-K825)</x:f>
      </x:c>
      <x:c r="M825" t="str">
        <x:f>IF(L825="","",IF(N825="Yes","Strategic Legacy",IF(L825&lt;=90,"Active",IF(L825&lt;=180,"Monitor",IF(L825&lt;=365,"Slow-Moving",IF(L825&lt;=730,"Excess","Obsolete"))))))</x:f>
      </x:c>
    </x:row>
    <x:row r="826">
      <x:c r="A826" s="40"/>
      <x:c r="I826" s="42"/>
      <x:c r="J826" s="42" t="str">
        <x:f>IF(OR(H826="",I826=""),"",H826*I826)</x:f>
      </x:c>
      <x:c r="K826" s="40"/>
      <x:c r="L826" t="str">
        <x:f>IF(K826="","",A826-K826)</x:f>
      </x:c>
      <x:c r="M826" t="str">
        <x:f>IF(L826="","",IF(N826="Yes","Strategic Legacy",IF(L826&lt;=90,"Active",IF(L826&lt;=180,"Monitor",IF(L826&lt;=365,"Slow-Moving",IF(L826&lt;=730,"Excess","Obsolete"))))))</x:f>
      </x:c>
    </x:row>
    <x:row r="827">
      <x:c r="A827" s="40"/>
      <x:c r="I827" s="42"/>
      <x:c r="J827" s="42" t="str">
        <x:f>IF(OR(H827="",I827=""),"",H827*I827)</x:f>
      </x:c>
      <x:c r="K827" s="40"/>
      <x:c r="L827" t="str">
        <x:f>IF(K827="","",A827-K827)</x:f>
      </x:c>
      <x:c r="M827" t="str">
        <x:f>IF(L827="","",IF(N827="Yes","Strategic Legacy",IF(L827&lt;=90,"Active",IF(L827&lt;=180,"Monitor",IF(L827&lt;=365,"Slow-Moving",IF(L827&lt;=730,"Excess","Obsolete"))))))</x:f>
      </x:c>
    </x:row>
    <x:row r="828">
      <x:c r="A828" s="40"/>
      <x:c r="I828" s="42"/>
      <x:c r="J828" s="42" t="str">
        <x:f>IF(OR(H828="",I828=""),"",H828*I828)</x:f>
      </x:c>
      <x:c r="K828" s="40"/>
      <x:c r="L828" t="str">
        <x:f>IF(K828="","",A828-K828)</x:f>
      </x:c>
      <x:c r="M828" t="str">
        <x:f>IF(L828="","",IF(N828="Yes","Strategic Legacy",IF(L828&lt;=90,"Active",IF(L828&lt;=180,"Monitor",IF(L828&lt;=365,"Slow-Moving",IF(L828&lt;=730,"Excess","Obsolete"))))))</x:f>
      </x:c>
    </x:row>
    <x:row r="829">
      <x:c r="A829" s="40"/>
      <x:c r="I829" s="42"/>
      <x:c r="J829" s="42" t="str">
        <x:f>IF(OR(H829="",I829=""),"",H829*I829)</x:f>
      </x:c>
      <x:c r="K829" s="40"/>
      <x:c r="L829" t="str">
        <x:f>IF(K829="","",A829-K829)</x:f>
      </x:c>
      <x:c r="M829" t="str">
        <x:f>IF(L829="","",IF(N829="Yes","Strategic Legacy",IF(L829&lt;=90,"Active",IF(L829&lt;=180,"Monitor",IF(L829&lt;=365,"Slow-Moving",IF(L829&lt;=730,"Excess","Obsolete"))))))</x:f>
      </x:c>
    </x:row>
    <x:row r="830">
      <x:c r="A830" s="40"/>
      <x:c r="I830" s="42"/>
      <x:c r="J830" s="42" t="str">
        <x:f>IF(OR(H830="",I830=""),"",H830*I830)</x:f>
      </x:c>
      <x:c r="K830" s="40"/>
      <x:c r="L830" t="str">
        <x:f>IF(K830="","",A830-K830)</x:f>
      </x:c>
      <x:c r="M830" t="str">
        <x:f>IF(L830="","",IF(N830="Yes","Strategic Legacy",IF(L830&lt;=90,"Active",IF(L830&lt;=180,"Monitor",IF(L830&lt;=365,"Slow-Moving",IF(L830&lt;=730,"Excess","Obsolete"))))))</x:f>
      </x:c>
    </x:row>
    <x:row r="831">
      <x:c r="A831" s="40"/>
      <x:c r="I831" s="42"/>
      <x:c r="J831" s="42" t="str">
        <x:f>IF(OR(H831="",I831=""),"",H831*I831)</x:f>
      </x:c>
      <x:c r="K831" s="40"/>
      <x:c r="L831" t="str">
        <x:f>IF(K831="","",A831-K831)</x:f>
      </x:c>
      <x:c r="M831" t="str">
        <x:f>IF(L831="","",IF(N831="Yes","Strategic Legacy",IF(L831&lt;=90,"Active",IF(L831&lt;=180,"Monitor",IF(L831&lt;=365,"Slow-Moving",IF(L831&lt;=730,"Excess","Obsolete"))))))</x:f>
      </x:c>
    </x:row>
    <x:row r="832">
      <x:c r="A832" s="40"/>
      <x:c r="I832" s="42"/>
      <x:c r="J832" s="42" t="str">
        <x:f>IF(OR(H832="",I832=""),"",H832*I832)</x:f>
      </x:c>
      <x:c r="K832" s="40"/>
      <x:c r="L832" t="str">
        <x:f>IF(K832="","",A832-K832)</x:f>
      </x:c>
      <x:c r="M832" t="str">
        <x:f>IF(L832="","",IF(N832="Yes","Strategic Legacy",IF(L832&lt;=90,"Active",IF(L832&lt;=180,"Monitor",IF(L832&lt;=365,"Slow-Moving",IF(L832&lt;=730,"Excess","Obsolete"))))))</x:f>
      </x:c>
    </x:row>
    <x:row r="833">
      <x:c r="A833" s="40"/>
      <x:c r="I833" s="42"/>
      <x:c r="J833" s="42" t="str">
        <x:f>IF(OR(H833="",I833=""),"",H833*I833)</x:f>
      </x:c>
      <x:c r="K833" s="40"/>
      <x:c r="L833" t="str">
        <x:f>IF(K833="","",A833-K833)</x:f>
      </x:c>
      <x:c r="M833" t="str">
        <x:f>IF(L833="","",IF(N833="Yes","Strategic Legacy",IF(L833&lt;=90,"Active",IF(L833&lt;=180,"Monitor",IF(L833&lt;=365,"Slow-Moving",IF(L833&lt;=730,"Excess","Obsolete"))))))</x:f>
      </x:c>
    </x:row>
    <x:row r="834">
      <x:c r="A834" s="40"/>
      <x:c r="I834" s="42"/>
      <x:c r="J834" s="42" t="str">
        <x:f>IF(OR(H834="",I834=""),"",H834*I834)</x:f>
      </x:c>
      <x:c r="K834" s="40"/>
      <x:c r="L834" t="str">
        <x:f>IF(K834="","",A834-K834)</x:f>
      </x:c>
      <x:c r="M834" t="str">
        <x:f>IF(L834="","",IF(N834="Yes","Strategic Legacy",IF(L834&lt;=90,"Active",IF(L834&lt;=180,"Monitor",IF(L834&lt;=365,"Slow-Moving",IF(L834&lt;=730,"Excess","Obsolete"))))))</x:f>
      </x:c>
    </x:row>
    <x:row r="835">
      <x:c r="A835" s="40"/>
      <x:c r="I835" s="42"/>
      <x:c r="J835" s="42" t="str">
        <x:f>IF(OR(H835="",I835=""),"",H835*I835)</x:f>
      </x:c>
      <x:c r="K835" s="40"/>
      <x:c r="L835" t="str">
        <x:f>IF(K835="","",A835-K835)</x:f>
      </x:c>
      <x:c r="M835" t="str">
        <x:f>IF(L835="","",IF(N835="Yes","Strategic Legacy",IF(L835&lt;=90,"Active",IF(L835&lt;=180,"Monitor",IF(L835&lt;=365,"Slow-Moving",IF(L835&lt;=730,"Excess","Obsolete"))))))</x:f>
      </x:c>
    </x:row>
    <x:row r="836">
      <x:c r="A836" s="40"/>
      <x:c r="I836" s="42"/>
      <x:c r="J836" s="42" t="str">
        <x:f>IF(OR(H836="",I836=""),"",H836*I836)</x:f>
      </x:c>
      <x:c r="K836" s="40"/>
      <x:c r="L836" t="str">
        <x:f>IF(K836="","",A836-K836)</x:f>
      </x:c>
      <x:c r="M836" t="str">
        <x:f>IF(L836="","",IF(N836="Yes","Strategic Legacy",IF(L836&lt;=90,"Active",IF(L836&lt;=180,"Monitor",IF(L836&lt;=365,"Slow-Moving",IF(L836&lt;=730,"Excess","Obsolete"))))))</x:f>
      </x:c>
    </x:row>
    <x:row r="837">
      <x:c r="A837" s="40"/>
      <x:c r="I837" s="42"/>
      <x:c r="J837" s="42" t="str">
        <x:f>IF(OR(H837="",I837=""),"",H837*I837)</x:f>
      </x:c>
      <x:c r="K837" s="40"/>
      <x:c r="L837" t="str">
        <x:f>IF(K837="","",A837-K837)</x:f>
      </x:c>
      <x:c r="M837" t="str">
        <x:f>IF(L837="","",IF(N837="Yes","Strategic Legacy",IF(L837&lt;=90,"Active",IF(L837&lt;=180,"Monitor",IF(L837&lt;=365,"Slow-Moving",IF(L837&lt;=730,"Excess","Obsolete"))))))</x:f>
      </x:c>
    </x:row>
    <x:row r="838">
      <x:c r="A838" s="40"/>
      <x:c r="I838" s="42"/>
      <x:c r="J838" s="42" t="str">
        <x:f>IF(OR(H838="",I838=""),"",H838*I838)</x:f>
      </x:c>
      <x:c r="K838" s="40"/>
      <x:c r="L838" t="str">
        <x:f>IF(K838="","",A838-K838)</x:f>
      </x:c>
      <x:c r="M838" t="str">
        <x:f>IF(L838="","",IF(N838="Yes","Strategic Legacy",IF(L838&lt;=90,"Active",IF(L838&lt;=180,"Monitor",IF(L838&lt;=365,"Slow-Moving",IF(L838&lt;=730,"Excess","Obsolete"))))))</x:f>
      </x:c>
    </x:row>
    <x:row r="839">
      <x:c r="A839" s="40"/>
      <x:c r="I839" s="42"/>
      <x:c r="J839" s="42" t="str">
        <x:f>IF(OR(H839="",I839=""),"",H839*I839)</x:f>
      </x:c>
      <x:c r="K839" s="40"/>
      <x:c r="L839" t="str">
        <x:f>IF(K839="","",A839-K839)</x:f>
      </x:c>
      <x:c r="M839" t="str">
        <x:f>IF(L839="","",IF(N839="Yes","Strategic Legacy",IF(L839&lt;=90,"Active",IF(L839&lt;=180,"Monitor",IF(L839&lt;=365,"Slow-Moving",IF(L839&lt;=730,"Excess","Obsolete"))))))</x:f>
      </x:c>
    </x:row>
    <x:row r="840">
      <x:c r="A840" s="40"/>
      <x:c r="I840" s="42"/>
      <x:c r="J840" s="42" t="str">
        <x:f>IF(OR(H840="",I840=""),"",H840*I840)</x:f>
      </x:c>
      <x:c r="K840" s="40"/>
      <x:c r="L840" t="str">
        <x:f>IF(K840="","",A840-K840)</x:f>
      </x:c>
      <x:c r="M840" t="str">
        <x:f>IF(L840="","",IF(N840="Yes","Strategic Legacy",IF(L840&lt;=90,"Active",IF(L840&lt;=180,"Monitor",IF(L840&lt;=365,"Slow-Moving",IF(L840&lt;=730,"Excess","Obsolete"))))))</x:f>
      </x:c>
    </x:row>
    <x:row r="841">
      <x:c r="A841" s="40"/>
      <x:c r="I841" s="42"/>
      <x:c r="J841" s="42" t="str">
        <x:f>IF(OR(H841="",I841=""),"",H841*I841)</x:f>
      </x:c>
      <x:c r="K841" s="40"/>
      <x:c r="L841" t="str">
        <x:f>IF(K841="","",A841-K841)</x:f>
      </x:c>
      <x:c r="M841" t="str">
        <x:f>IF(L841="","",IF(N841="Yes","Strategic Legacy",IF(L841&lt;=90,"Active",IF(L841&lt;=180,"Monitor",IF(L841&lt;=365,"Slow-Moving",IF(L841&lt;=730,"Excess","Obsolete"))))))</x:f>
      </x:c>
    </x:row>
    <x:row r="842">
      <x:c r="A842" s="40"/>
      <x:c r="I842" s="42"/>
      <x:c r="J842" s="42" t="str">
        <x:f>IF(OR(H842="",I842=""),"",H842*I842)</x:f>
      </x:c>
      <x:c r="K842" s="40"/>
      <x:c r="L842" t="str">
        <x:f>IF(K842="","",A842-K842)</x:f>
      </x:c>
      <x:c r="M842" t="str">
        <x:f>IF(L842="","",IF(N842="Yes","Strategic Legacy",IF(L842&lt;=90,"Active",IF(L842&lt;=180,"Monitor",IF(L842&lt;=365,"Slow-Moving",IF(L842&lt;=730,"Excess","Obsolete"))))))</x:f>
      </x:c>
    </x:row>
    <x:row r="843">
      <x:c r="A843" s="40"/>
      <x:c r="I843" s="42"/>
      <x:c r="J843" s="42" t="str">
        <x:f>IF(OR(H843="",I843=""),"",H843*I843)</x:f>
      </x:c>
      <x:c r="K843" s="40"/>
      <x:c r="L843" t="str">
        <x:f>IF(K843="","",A843-K843)</x:f>
      </x:c>
      <x:c r="M843" t="str">
        <x:f>IF(L843="","",IF(N843="Yes","Strategic Legacy",IF(L843&lt;=90,"Active",IF(L843&lt;=180,"Monitor",IF(L843&lt;=365,"Slow-Moving",IF(L843&lt;=730,"Excess","Obsolete"))))))</x:f>
      </x:c>
    </x:row>
    <x:row r="844">
      <x:c r="A844" s="40"/>
      <x:c r="I844" s="42"/>
      <x:c r="J844" s="42" t="str">
        <x:f>IF(OR(H844="",I844=""),"",H844*I844)</x:f>
      </x:c>
      <x:c r="K844" s="40"/>
      <x:c r="L844" t="str">
        <x:f>IF(K844="","",A844-K844)</x:f>
      </x:c>
      <x:c r="M844" t="str">
        <x:f>IF(L844="","",IF(N844="Yes","Strategic Legacy",IF(L844&lt;=90,"Active",IF(L844&lt;=180,"Monitor",IF(L844&lt;=365,"Slow-Moving",IF(L844&lt;=730,"Excess","Obsolete"))))))</x:f>
      </x:c>
    </x:row>
    <x:row r="845">
      <x:c r="A845" s="40"/>
      <x:c r="I845" s="42"/>
      <x:c r="J845" s="42" t="str">
        <x:f>IF(OR(H845="",I845=""),"",H845*I845)</x:f>
      </x:c>
      <x:c r="K845" s="40"/>
      <x:c r="L845" t="str">
        <x:f>IF(K845="","",A845-K845)</x:f>
      </x:c>
      <x:c r="M845" t="str">
        <x:f>IF(L845="","",IF(N845="Yes","Strategic Legacy",IF(L845&lt;=90,"Active",IF(L845&lt;=180,"Monitor",IF(L845&lt;=365,"Slow-Moving",IF(L845&lt;=730,"Excess","Obsolete"))))))</x:f>
      </x:c>
    </x:row>
    <x:row r="846">
      <x:c r="A846" s="40"/>
      <x:c r="I846" s="42"/>
      <x:c r="J846" s="42" t="str">
        <x:f>IF(OR(H846="",I846=""),"",H846*I846)</x:f>
      </x:c>
      <x:c r="K846" s="40"/>
      <x:c r="L846" t="str">
        <x:f>IF(K846="","",A846-K846)</x:f>
      </x:c>
      <x:c r="M846" t="str">
        <x:f>IF(L846="","",IF(N846="Yes","Strategic Legacy",IF(L846&lt;=90,"Active",IF(L846&lt;=180,"Monitor",IF(L846&lt;=365,"Slow-Moving",IF(L846&lt;=730,"Excess","Obsolete"))))))</x:f>
      </x:c>
    </x:row>
    <x:row r="847">
      <x:c r="A847" s="40"/>
      <x:c r="I847" s="42"/>
      <x:c r="J847" s="42" t="str">
        <x:f>IF(OR(H847="",I847=""),"",H847*I847)</x:f>
      </x:c>
      <x:c r="K847" s="40"/>
      <x:c r="L847" t="str">
        <x:f>IF(K847="","",A847-K847)</x:f>
      </x:c>
      <x:c r="M847" t="str">
        <x:f>IF(L847="","",IF(N847="Yes","Strategic Legacy",IF(L847&lt;=90,"Active",IF(L847&lt;=180,"Monitor",IF(L847&lt;=365,"Slow-Moving",IF(L847&lt;=730,"Excess","Obsolete"))))))</x:f>
      </x:c>
    </x:row>
    <x:row r="848">
      <x:c r="A848" s="40"/>
      <x:c r="I848" s="42"/>
      <x:c r="J848" s="42" t="str">
        <x:f>IF(OR(H848="",I848=""),"",H848*I848)</x:f>
      </x:c>
      <x:c r="K848" s="40"/>
      <x:c r="L848" t="str">
        <x:f>IF(K848="","",A848-K848)</x:f>
      </x:c>
      <x:c r="M848" t="str">
        <x:f>IF(L848="","",IF(N848="Yes","Strategic Legacy",IF(L848&lt;=90,"Active",IF(L848&lt;=180,"Monitor",IF(L848&lt;=365,"Slow-Moving",IF(L848&lt;=730,"Excess","Obsolete"))))))</x:f>
      </x:c>
    </x:row>
    <x:row r="849">
      <x:c r="A849" s="40"/>
      <x:c r="I849" s="42"/>
      <x:c r="J849" s="42" t="str">
        <x:f>IF(OR(H849="",I849=""),"",H849*I849)</x:f>
      </x:c>
      <x:c r="K849" s="40"/>
      <x:c r="L849" t="str">
        <x:f>IF(K849="","",A849-K849)</x:f>
      </x:c>
      <x:c r="M849" t="str">
        <x:f>IF(L849="","",IF(N849="Yes","Strategic Legacy",IF(L849&lt;=90,"Active",IF(L849&lt;=180,"Monitor",IF(L849&lt;=365,"Slow-Moving",IF(L849&lt;=730,"Excess","Obsolete"))))))</x:f>
      </x:c>
    </x:row>
    <x:row r="850">
      <x:c r="A850" s="40"/>
      <x:c r="I850" s="42"/>
      <x:c r="J850" s="42" t="str">
        <x:f>IF(OR(H850="",I850=""),"",H850*I850)</x:f>
      </x:c>
      <x:c r="K850" s="40"/>
      <x:c r="L850" t="str">
        <x:f>IF(K850="","",A850-K850)</x:f>
      </x:c>
      <x:c r="M850" t="str">
        <x:f>IF(L850="","",IF(N850="Yes","Strategic Legacy",IF(L850&lt;=90,"Active",IF(L850&lt;=180,"Monitor",IF(L850&lt;=365,"Slow-Moving",IF(L850&lt;=730,"Excess","Obsolete"))))))</x:f>
      </x:c>
    </x:row>
    <x:row r="851">
      <x:c r="A851" s="40"/>
      <x:c r="I851" s="42"/>
      <x:c r="J851" s="42" t="str">
        <x:f>IF(OR(H851="",I851=""),"",H851*I851)</x:f>
      </x:c>
      <x:c r="K851" s="40"/>
      <x:c r="L851" t="str">
        <x:f>IF(K851="","",A851-K851)</x:f>
      </x:c>
      <x:c r="M851" t="str">
        <x:f>IF(L851="","",IF(N851="Yes","Strategic Legacy",IF(L851&lt;=90,"Active",IF(L851&lt;=180,"Monitor",IF(L851&lt;=365,"Slow-Moving",IF(L851&lt;=730,"Excess","Obsolete"))))))</x:f>
      </x:c>
    </x:row>
    <x:row r="852">
      <x:c r="A852" s="40"/>
      <x:c r="I852" s="42"/>
      <x:c r="J852" s="42" t="str">
        <x:f>IF(OR(H852="",I852=""),"",H852*I852)</x:f>
      </x:c>
      <x:c r="K852" s="40"/>
      <x:c r="L852" t="str">
        <x:f>IF(K852="","",A852-K852)</x:f>
      </x:c>
      <x:c r="M852" t="str">
        <x:f>IF(L852="","",IF(N852="Yes","Strategic Legacy",IF(L852&lt;=90,"Active",IF(L852&lt;=180,"Monitor",IF(L852&lt;=365,"Slow-Moving",IF(L852&lt;=730,"Excess","Obsolete"))))))</x:f>
      </x:c>
    </x:row>
    <x:row r="853">
      <x:c r="A853" s="40"/>
      <x:c r="I853" s="42"/>
      <x:c r="J853" s="42" t="str">
        <x:f>IF(OR(H853="",I853=""),"",H853*I853)</x:f>
      </x:c>
      <x:c r="K853" s="40"/>
      <x:c r="L853" t="str">
        <x:f>IF(K853="","",A853-K853)</x:f>
      </x:c>
      <x:c r="M853" t="str">
        <x:f>IF(L853="","",IF(N853="Yes","Strategic Legacy",IF(L853&lt;=90,"Active",IF(L853&lt;=180,"Monitor",IF(L853&lt;=365,"Slow-Moving",IF(L853&lt;=730,"Excess","Obsolete"))))))</x:f>
      </x:c>
    </x:row>
    <x:row r="854">
      <x:c r="A854" s="40"/>
      <x:c r="I854" s="42"/>
      <x:c r="J854" s="42" t="str">
        <x:f>IF(OR(H854="",I854=""),"",H854*I854)</x:f>
      </x:c>
      <x:c r="K854" s="40"/>
      <x:c r="L854" t="str">
        <x:f>IF(K854="","",A854-K854)</x:f>
      </x:c>
      <x:c r="M854" t="str">
        <x:f>IF(L854="","",IF(N854="Yes","Strategic Legacy",IF(L854&lt;=90,"Active",IF(L854&lt;=180,"Monitor",IF(L854&lt;=365,"Slow-Moving",IF(L854&lt;=730,"Excess","Obsolete"))))))</x:f>
      </x:c>
    </x:row>
    <x:row r="855">
      <x:c r="A855" s="40"/>
      <x:c r="I855" s="42"/>
      <x:c r="J855" s="42" t="str">
        <x:f>IF(OR(H855="",I855=""),"",H855*I855)</x:f>
      </x:c>
      <x:c r="K855" s="40"/>
      <x:c r="L855" t="str">
        <x:f>IF(K855="","",A855-K855)</x:f>
      </x:c>
      <x:c r="M855" t="str">
        <x:f>IF(L855="","",IF(N855="Yes","Strategic Legacy",IF(L855&lt;=90,"Active",IF(L855&lt;=180,"Monitor",IF(L855&lt;=365,"Slow-Moving",IF(L855&lt;=730,"Excess","Obsolete"))))))</x:f>
      </x:c>
    </x:row>
    <x:row r="856">
      <x:c r="A856" s="40"/>
      <x:c r="I856" s="42"/>
      <x:c r="J856" s="42" t="str">
        <x:f>IF(OR(H856="",I856=""),"",H856*I856)</x:f>
      </x:c>
      <x:c r="K856" s="40"/>
      <x:c r="L856" t="str">
        <x:f>IF(K856="","",A856-K856)</x:f>
      </x:c>
      <x:c r="M856" t="str">
        <x:f>IF(L856="","",IF(N856="Yes","Strategic Legacy",IF(L856&lt;=90,"Active",IF(L856&lt;=180,"Monitor",IF(L856&lt;=365,"Slow-Moving",IF(L856&lt;=730,"Excess","Obsolete"))))))</x:f>
      </x:c>
    </x:row>
    <x:row r="857">
      <x:c r="A857" s="40"/>
      <x:c r="I857" s="42"/>
      <x:c r="J857" s="42" t="str">
        <x:f>IF(OR(H857="",I857=""),"",H857*I857)</x:f>
      </x:c>
      <x:c r="K857" s="40"/>
      <x:c r="L857" t="str">
        <x:f>IF(K857="","",A857-K857)</x:f>
      </x:c>
      <x:c r="M857" t="str">
        <x:f>IF(L857="","",IF(N857="Yes","Strategic Legacy",IF(L857&lt;=90,"Active",IF(L857&lt;=180,"Monitor",IF(L857&lt;=365,"Slow-Moving",IF(L857&lt;=730,"Excess","Obsolete"))))))</x:f>
      </x:c>
    </x:row>
    <x:row r="858">
      <x:c r="A858" s="40"/>
      <x:c r="I858" s="42"/>
      <x:c r="J858" s="42" t="str">
        <x:f>IF(OR(H858="",I858=""),"",H858*I858)</x:f>
      </x:c>
      <x:c r="K858" s="40"/>
      <x:c r="L858" t="str">
        <x:f>IF(K858="","",A858-K858)</x:f>
      </x:c>
      <x:c r="M858" t="str">
        <x:f>IF(L858="","",IF(N858="Yes","Strategic Legacy",IF(L858&lt;=90,"Active",IF(L858&lt;=180,"Monitor",IF(L858&lt;=365,"Slow-Moving",IF(L858&lt;=730,"Excess","Obsolete"))))))</x:f>
      </x:c>
    </x:row>
    <x:row r="859">
      <x:c r="A859" s="40"/>
      <x:c r="I859" s="42"/>
      <x:c r="J859" s="42" t="str">
        <x:f>IF(OR(H859="",I859=""),"",H859*I859)</x:f>
      </x:c>
      <x:c r="K859" s="40"/>
      <x:c r="L859" t="str">
        <x:f>IF(K859="","",A859-K859)</x:f>
      </x:c>
      <x:c r="M859" t="str">
        <x:f>IF(L859="","",IF(N859="Yes","Strategic Legacy",IF(L859&lt;=90,"Active",IF(L859&lt;=180,"Monitor",IF(L859&lt;=365,"Slow-Moving",IF(L859&lt;=730,"Excess","Obsolete"))))))</x:f>
      </x:c>
    </x:row>
    <x:row r="860">
      <x:c r="A860" s="40"/>
      <x:c r="I860" s="42"/>
      <x:c r="J860" s="42" t="str">
        <x:f>IF(OR(H860="",I860=""),"",H860*I860)</x:f>
      </x:c>
      <x:c r="K860" s="40"/>
      <x:c r="L860" t="str">
        <x:f>IF(K860="","",A860-K860)</x:f>
      </x:c>
      <x:c r="M860" t="str">
        <x:f>IF(L860="","",IF(N860="Yes","Strategic Legacy",IF(L860&lt;=90,"Active",IF(L860&lt;=180,"Monitor",IF(L860&lt;=365,"Slow-Moving",IF(L860&lt;=730,"Excess","Obsolete"))))))</x:f>
      </x:c>
    </x:row>
    <x:row r="861">
      <x:c r="A861" s="40"/>
      <x:c r="I861" s="42"/>
      <x:c r="J861" s="42" t="str">
        <x:f>IF(OR(H861="",I861=""),"",H861*I861)</x:f>
      </x:c>
      <x:c r="K861" s="40"/>
      <x:c r="L861" t="str">
        <x:f>IF(K861="","",A861-K861)</x:f>
      </x:c>
      <x:c r="M861" t="str">
        <x:f>IF(L861="","",IF(N861="Yes","Strategic Legacy",IF(L861&lt;=90,"Active",IF(L861&lt;=180,"Monitor",IF(L861&lt;=365,"Slow-Moving",IF(L861&lt;=730,"Excess","Obsolete"))))))</x:f>
      </x:c>
    </x:row>
    <x:row r="862">
      <x:c r="A862" s="40"/>
      <x:c r="I862" s="42"/>
      <x:c r="J862" s="42" t="str">
        <x:f>IF(OR(H862="",I862=""),"",H862*I862)</x:f>
      </x:c>
      <x:c r="K862" s="40"/>
      <x:c r="L862" t="str">
        <x:f>IF(K862="","",A862-K862)</x:f>
      </x:c>
      <x:c r="M862" t="str">
        <x:f>IF(L862="","",IF(N862="Yes","Strategic Legacy",IF(L862&lt;=90,"Active",IF(L862&lt;=180,"Monitor",IF(L862&lt;=365,"Slow-Moving",IF(L862&lt;=730,"Excess","Obsolete"))))))</x:f>
      </x:c>
    </x:row>
    <x:row r="863">
      <x:c r="A863" s="40"/>
      <x:c r="I863" s="42"/>
      <x:c r="J863" s="42" t="str">
        <x:f>IF(OR(H863="",I863=""),"",H863*I863)</x:f>
      </x:c>
      <x:c r="K863" s="40"/>
      <x:c r="L863" t="str">
        <x:f>IF(K863="","",A863-K863)</x:f>
      </x:c>
      <x:c r="M863" t="str">
        <x:f>IF(L863="","",IF(N863="Yes","Strategic Legacy",IF(L863&lt;=90,"Active",IF(L863&lt;=180,"Monitor",IF(L863&lt;=365,"Slow-Moving",IF(L863&lt;=730,"Excess","Obsolete"))))))</x:f>
      </x:c>
    </x:row>
    <x:row r="864">
      <x:c r="A864" s="40"/>
      <x:c r="I864" s="42"/>
      <x:c r="J864" s="42" t="str">
        <x:f>IF(OR(H864="",I864=""),"",H864*I864)</x:f>
      </x:c>
      <x:c r="K864" s="40"/>
      <x:c r="L864" t="str">
        <x:f>IF(K864="","",A864-K864)</x:f>
      </x:c>
      <x:c r="M864" t="str">
        <x:f>IF(L864="","",IF(N864="Yes","Strategic Legacy",IF(L864&lt;=90,"Active",IF(L864&lt;=180,"Monitor",IF(L864&lt;=365,"Slow-Moving",IF(L864&lt;=730,"Excess","Obsolete"))))))</x:f>
      </x:c>
    </x:row>
    <x:row r="865">
      <x:c r="A865" s="40"/>
      <x:c r="I865" s="42"/>
      <x:c r="J865" s="42" t="str">
        <x:f>IF(OR(H865="",I865=""),"",H865*I865)</x:f>
      </x:c>
      <x:c r="K865" s="40"/>
      <x:c r="L865" t="str">
        <x:f>IF(K865="","",A865-K865)</x:f>
      </x:c>
      <x:c r="M865" t="str">
        <x:f>IF(L865="","",IF(N865="Yes","Strategic Legacy",IF(L865&lt;=90,"Active",IF(L865&lt;=180,"Monitor",IF(L865&lt;=365,"Slow-Moving",IF(L865&lt;=730,"Excess","Obsolete"))))))</x:f>
      </x:c>
    </x:row>
    <x:row r="866">
      <x:c r="A866" s="40"/>
      <x:c r="I866" s="42"/>
      <x:c r="J866" s="42" t="str">
        <x:f>IF(OR(H866="",I866=""),"",H866*I866)</x:f>
      </x:c>
      <x:c r="K866" s="40"/>
      <x:c r="L866" t="str">
        <x:f>IF(K866="","",A866-K866)</x:f>
      </x:c>
      <x:c r="M866" t="str">
        <x:f>IF(L866="","",IF(N866="Yes","Strategic Legacy",IF(L866&lt;=90,"Active",IF(L866&lt;=180,"Monitor",IF(L866&lt;=365,"Slow-Moving",IF(L866&lt;=730,"Excess","Obsolete"))))))</x:f>
      </x:c>
    </x:row>
    <x:row r="867">
      <x:c r="A867" s="40"/>
      <x:c r="I867" s="42"/>
      <x:c r="J867" s="42" t="str">
        <x:f>IF(OR(H867="",I867=""),"",H867*I867)</x:f>
      </x:c>
      <x:c r="K867" s="40"/>
      <x:c r="L867" t="str">
        <x:f>IF(K867="","",A867-K867)</x:f>
      </x:c>
      <x:c r="M867" t="str">
        <x:f>IF(L867="","",IF(N867="Yes","Strategic Legacy",IF(L867&lt;=90,"Active",IF(L867&lt;=180,"Monitor",IF(L867&lt;=365,"Slow-Moving",IF(L867&lt;=730,"Excess","Obsolete"))))))</x:f>
      </x:c>
    </x:row>
    <x:row r="868">
      <x:c r="A868" s="40"/>
      <x:c r="I868" s="42"/>
      <x:c r="J868" s="42" t="str">
        <x:f>IF(OR(H868="",I868=""),"",H868*I868)</x:f>
      </x:c>
      <x:c r="K868" s="40"/>
      <x:c r="L868" t="str">
        <x:f>IF(K868="","",A868-K868)</x:f>
      </x:c>
      <x:c r="M868" t="str">
        <x:f>IF(L868="","",IF(N868="Yes","Strategic Legacy",IF(L868&lt;=90,"Active",IF(L868&lt;=180,"Monitor",IF(L868&lt;=365,"Slow-Moving",IF(L868&lt;=730,"Excess","Obsolete"))))))</x:f>
      </x:c>
    </x:row>
    <x:row r="869">
      <x:c r="A869" s="40"/>
      <x:c r="I869" s="42"/>
      <x:c r="J869" s="42" t="str">
        <x:f>IF(OR(H869="",I869=""),"",H869*I869)</x:f>
      </x:c>
      <x:c r="K869" s="40"/>
      <x:c r="L869" t="str">
        <x:f>IF(K869="","",A869-K869)</x:f>
      </x:c>
      <x:c r="M869" t="str">
        <x:f>IF(L869="","",IF(N869="Yes","Strategic Legacy",IF(L869&lt;=90,"Active",IF(L869&lt;=180,"Monitor",IF(L869&lt;=365,"Slow-Moving",IF(L869&lt;=730,"Excess","Obsolete"))))))</x:f>
      </x:c>
    </x:row>
    <x:row r="870">
      <x:c r="A870" s="40"/>
      <x:c r="I870" s="42"/>
      <x:c r="J870" s="42" t="str">
        <x:f>IF(OR(H870="",I870=""),"",H870*I870)</x:f>
      </x:c>
      <x:c r="K870" s="40"/>
      <x:c r="L870" t="str">
        <x:f>IF(K870="","",A870-K870)</x:f>
      </x:c>
      <x:c r="M870" t="str">
        <x:f>IF(L870="","",IF(N870="Yes","Strategic Legacy",IF(L870&lt;=90,"Active",IF(L870&lt;=180,"Monitor",IF(L870&lt;=365,"Slow-Moving",IF(L870&lt;=730,"Excess","Obsolete"))))))</x:f>
      </x:c>
    </x:row>
    <x:row r="871">
      <x:c r="A871" s="40"/>
      <x:c r="I871" s="42"/>
      <x:c r="J871" s="42" t="str">
        <x:f>IF(OR(H871="",I871=""),"",H871*I871)</x:f>
      </x:c>
      <x:c r="K871" s="40"/>
      <x:c r="L871" t="str">
        <x:f>IF(K871="","",A871-K871)</x:f>
      </x:c>
      <x:c r="M871" t="str">
        <x:f>IF(L871="","",IF(N871="Yes","Strategic Legacy",IF(L871&lt;=90,"Active",IF(L871&lt;=180,"Monitor",IF(L871&lt;=365,"Slow-Moving",IF(L871&lt;=730,"Excess","Obsolete"))))))</x:f>
      </x:c>
    </x:row>
    <x:row r="872">
      <x:c r="A872" s="40"/>
      <x:c r="I872" s="42"/>
      <x:c r="J872" s="42" t="str">
        <x:f>IF(OR(H872="",I872=""),"",H872*I872)</x:f>
      </x:c>
      <x:c r="K872" s="40"/>
      <x:c r="L872" t="str">
        <x:f>IF(K872="","",A872-K872)</x:f>
      </x:c>
      <x:c r="M872" t="str">
        <x:f>IF(L872="","",IF(N872="Yes","Strategic Legacy",IF(L872&lt;=90,"Active",IF(L872&lt;=180,"Monitor",IF(L872&lt;=365,"Slow-Moving",IF(L872&lt;=730,"Excess","Obsolete"))))))</x:f>
      </x:c>
    </x:row>
    <x:row r="873">
      <x:c r="A873" s="40"/>
      <x:c r="I873" s="42"/>
      <x:c r="J873" s="42" t="str">
        <x:f>IF(OR(H873="",I873=""),"",H873*I873)</x:f>
      </x:c>
      <x:c r="K873" s="40"/>
      <x:c r="L873" t="str">
        <x:f>IF(K873="","",A873-K873)</x:f>
      </x:c>
      <x:c r="M873" t="str">
        <x:f>IF(L873="","",IF(N873="Yes","Strategic Legacy",IF(L873&lt;=90,"Active",IF(L873&lt;=180,"Monitor",IF(L873&lt;=365,"Slow-Moving",IF(L873&lt;=730,"Excess","Obsolete"))))))</x:f>
      </x:c>
    </x:row>
    <x:row r="874">
      <x:c r="A874" s="40"/>
      <x:c r="I874" s="42"/>
      <x:c r="J874" s="42" t="str">
        <x:f>IF(OR(H874="",I874=""),"",H874*I874)</x:f>
      </x:c>
      <x:c r="K874" s="40"/>
      <x:c r="L874" t="str">
        <x:f>IF(K874="","",A874-K874)</x:f>
      </x:c>
      <x:c r="M874" t="str">
        <x:f>IF(L874="","",IF(N874="Yes","Strategic Legacy",IF(L874&lt;=90,"Active",IF(L874&lt;=180,"Monitor",IF(L874&lt;=365,"Slow-Moving",IF(L874&lt;=730,"Excess","Obsolete"))))))</x:f>
      </x:c>
    </x:row>
    <x:row r="875">
      <x:c r="A875" s="40"/>
      <x:c r="I875" s="42"/>
      <x:c r="J875" s="42" t="str">
        <x:f>IF(OR(H875="",I875=""),"",H875*I875)</x:f>
      </x:c>
      <x:c r="K875" s="40"/>
      <x:c r="L875" t="str">
        <x:f>IF(K875="","",A875-K875)</x:f>
      </x:c>
      <x:c r="M875" t="str">
        <x:f>IF(L875="","",IF(N875="Yes","Strategic Legacy",IF(L875&lt;=90,"Active",IF(L875&lt;=180,"Monitor",IF(L875&lt;=365,"Slow-Moving",IF(L875&lt;=730,"Excess","Obsolete"))))))</x:f>
      </x:c>
    </x:row>
    <x:row r="876">
      <x:c r="A876" s="40"/>
      <x:c r="I876" s="42"/>
      <x:c r="J876" s="42" t="str">
        <x:f>IF(OR(H876="",I876=""),"",H876*I876)</x:f>
      </x:c>
      <x:c r="K876" s="40"/>
      <x:c r="L876" t="str">
        <x:f>IF(K876="","",A876-K876)</x:f>
      </x:c>
      <x:c r="M876" t="str">
        <x:f>IF(L876="","",IF(N876="Yes","Strategic Legacy",IF(L876&lt;=90,"Active",IF(L876&lt;=180,"Monitor",IF(L876&lt;=365,"Slow-Moving",IF(L876&lt;=730,"Excess","Obsolete"))))))</x:f>
      </x:c>
    </x:row>
    <x:row r="877">
      <x:c r="A877" s="40"/>
      <x:c r="I877" s="42"/>
      <x:c r="J877" s="42" t="str">
        <x:f>IF(OR(H877="",I877=""),"",H877*I877)</x:f>
      </x:c>
      <x:c r="K877" s="40"/>
      <x:c r="L877" t="str">
        <x:f>IF(K877="","",A877-K877)</x:f>
      </x:c>
      <x:c r="M877" t="str">
        <x:f>IF(L877="","",IF(N877="Yes","Strategic Legacy",IF(L877&lt;=90,"Active",IF(L877&lt;=180,"Monitor",IF(L877&lt;=365,"Slow-Moving",IF(L877&lt;=730,"Excess","Obsolete"))))))</x:f>
      </x:c>
    </x:row>
    <x:row r="878">
      <x:c r="A878" s="40"/>
      <x:c r="I878" s="42"/>
      <x:c r="J878" s="42" t="str">
        <x:f>IF(OR(H878="",I878=""),"",H878*I878)</x:f>
      </x:c>
      <x:c r="K878" s="40"/>
      <x:c r="L878" t="str">
        <x:f>IF(K878="","",A878-K878)</x:f>
      </x:c>
      <x:c r="M878" t="str">
        <x:f>IF(L878="","",IF(N878="Yes","Strategic Legacy",IF(L878&lt;=90,"Active",IF(L878&lt;=180,"Monitor",IF(L878&lt;=365,"Slow-Moving",IF(L878&lt;=730,"Excess","Obsolete"))))))</x:f>
      </x:c>
    </x:row>
    <x:row r="879">
      <x:c r="A879" s="40"/>
      <x:c r="I879" s="42"/>
      <x:c r="J879" s="42" t="str">
        <x:f>IF(OR(H879="",I879=""),"",H879*I879)</x:f>
      </x:c>
      <x:c r="K879" s="40"/>
      <x:c r="L879" t="str">
        <x:f>IF(K879="","",A879-K879)</x:f>
      </x:c>
      <x:c r="M879" t="str">
        <x:f>IF(L879="","",IF(N879="Yes","Strategic Legacy",IF(L879&lt;=90,"Active",IF(L879&lt;=180,"Monitor",IF(L879&lt;=365,"Slow-Moving",IF(L879&lt;=730,"Excess","Obsolete"))))))</x:f>
      </x:c>
    </x:row>
    <x:row r="880">
      <x:c r="A880" s="40"/>
      <x:c r="I880" s="42"/>
      <x:c r="J880" s="42" t="str">
        <x:f>IF(OR(H880="",I880=""),"",H880*I880)</x:f>
      </x:c>
      <x:c r="K880" s="40"/>
      <x:c r="L880" t="str">
        <x:f>IF(K880="","",A880-K880)</x:f>
      </x:c>
      <x:c r="M880" t="str">
        <x:f>IF(L880="","",IF(N880="Yes","Strategic Legacy",IF(L880&lt;=90,"Active",IF(L880&lt;=180,"Monitor",IF(L880&lt;=365,"Slow-Moving",IF(L880&lt;=730,"Excess","Obsolete"))))))</x:f>
      </x:c>
    </x:row>
    <x:row r="881">
      <x:c r="A881" s="40"/>
      <x:c r="I881" s="42"/>
      <x:c r="J881" s="42" t="str">
        <x:f>IF(OR(H881="",I881=""),"",H881*I881)</x:f>
      </x:c>
      <x:c r="K881" s="40"/>
      <x:c r="L881" t="str">
        <x:f>IF(K881="","",A881-K881)</x:f>
      </x:c>
      <x:c r="M881" t="str">
        <x:f>IF(L881="","",IF(N881="Yes","Strategic Legacy",IF(L881&lt;=90,"Active",IF(L881&lt;=180,"Monitor",IF(L881&lt;=365,"Slow-Moving",IF(L881&lt;=730,"Excess","Obsolete"))))))</x:f>
      </x:c>
    </x:row>
    <x:row r="882">
      <x:c r="A882" s="40"/>
      <x:c r="I882" s="42"/>
      <x:c r="J882" s="42" t="str">
        <x:f>IF(OR(H882="",I882=""),"",H882*I882)</x:f>
      </x:c>
      <x:c r="K882" s="40"/>
      <x:c r="L882" t="str">
        <x:f>IF(K882="","",A882-K882)</x:f>
      </x:c>
      <x:c r="M882" t="str">
        <x:f>IF(L882="","",IF(N882="Yes","Strategic Legacy",IF(L882&lt;=90,"Active",IF(L882&lt;=180,"Monitor",IF(L882&lt;=365,"Slow-Moving",IF(L882&lt;=730,"Excess","Obsolete"))))))</x:f>
      </x:c>
    </x:row>
    <x:row r="883">
      <x:c r="A883" s="40"/>
      <x:c r="I883" s="42"/>
      <x:c r="J883" s="42" t="str">
        <x:f>IF(OR(H883="",I883=""),"",H883*I883)</x:f>
      </x:c>
      <x:c r="K883" s="40"/>
      <x:c r="L883" t="str">
        <x:f>IF(K883="","",A883-K883)</x:f>
      </x:c>
      <x:c r="M883" t="str">
        <x:f>IF(L883="","",IF(N883="Yes","Strategic Legacy",IF(L883&lt;=90,"Active",IF(L883&lt;=180,"Monitor",IF(L883&lt;=365,"Slow-Moving",IF(L883&lt;=730,"Excess","Obsolete"))))))</x:f>
      </x:c>
    </x:row>
    <x:row r="884">
      <x:c r="A884" s="40"/>
      <x:c r="I884" s="42"/>
      <x:c r="J884" s="42" t="str">
        <x:f>IF(OR(H884="",I884=""),"",H884*I884)</x:f>
      </x:c>
      <x:c r="K884" s="40"/>
      <x:c r="L884" t="str">
        <x:f>IF(K884="","",A884-K884)</x:f>
      </x:c>
      <x:c r="M884" t="str">
        <x:f>IF(L884="","",IF(N884="Yes","Strategic Legacy",IF(L884&lt;=90,"Active",IF(L884&lt;=180,"Monitor",IF(L884&lt;=365,"Slow-Moving",IF(L884&lt;=730,"Excess","Obsolete"))))))</x:f>
      </x:c>
    </x:row>
    <x:row r="885">
      <x:c r="A885" s="40"/>
      <x:c r="I885" s="42"/>
      <x:c r="J885" s="42" t="str">
        <x:f>IF(OR(H885="",I885=""),"",H885*I885)</x:f>
      </x:c>
      <x:c r="K885" s="40"/>
      <x:c r="L885" t="str">
        <x:f>IF(K885="","",A885-K885)</x:f>
      </x:c>
      <x:c r="M885" t="str">
        <x:f>IF(L885="","",IF(N885="Yes","Strategic Legacy",IF(L885&lt;=90,"Active",IF(L885&lt;=180,"Monitor",IF(L885&lt;=365,"Slow-Moving",IF(L885&lt;=730,"Excess","Obsolete"))))))</x:f>
      </x:c>
    </x:row>
    <x:row r="886">
      <x:c r="A886" s="40"/>
      <x:c r="I886" s="42"/>
      <x:c r="J886" s="42" t="str">
        <x:f>IF(OR(H886="",I886=""),"",H886*I886)</x:f>
      </x:c>
      <x:c r="K886" s="40"/>
      <x:c r="L886" t="str">
        <x:f>IF(K886="","",A886-K886)</x:f>
      </x:c>
      <x:c r="M886" t="str">
        <x:f>IF(L886="","",IF(N886="Yes","Strategic Legacy",IF(L886&lt;=90,"Active",IF(L886&lt;=180,"Monitor",IF(L886&lt;=365,"Slow-Moving",IF(L886&lt;=730,"Excess","Obsolete"))))))</x:f>
      </x:c>
    </x:row>
    <x:row r="887">
      <x:c r="A887" s="40"/>
      <x:c r="I887" s="42"/>
      <x:c r="J887" s="42" t="str">
        <x:f>IF(OR(H887="",I887=""),"",H887*I887)</x:f>
      </x:c>
      <x:c r="K887" s="40"/>
      <x:c r="L887" t="str">
        <x:f>IF(K887="","",A887-K887)</x:f>
      </x:c>
      <x:c r="M887" t="str">
        <x:f>IF(L887="","",IF(N887="Yes","Strategic Legacy",IF(L887&lt;=90,"Active",IF(L887&lt;=180,"Monitor",IF(L887&lt;=365,"Slow-Moving",IF(L887&lt;=730,"Excess","Obsolete"))))))</x:f>
      </x:c>
    </x:row>
    <x:row r="888">
      <x:c r="A888" s="40"/>
      <x:c r="I888" s="42"/>
      <x:c r="J888" s="42" t="str">
        <x:f>IF(OR(H888="",I888=""),"",H888*I888)</x:f>
      </x:c>
      <x:c r="K888" s="40"/>
      <x:c r="L888" t="str">
        <x:f>IF(K888="","",A888-K888)</x:f>
      </x:c>
      <x:c r="M888" t="str">
        <x:f>IF(L888="","",IF(N888="Yes","Strategic Legacy",IF(L888&lt;=90,"Active",IF(L888&lt;=180,"Monitor",IF(L888&lt;=365,"Slow-Moving",IF(L888&lt;=730,"Excess","Obsolete"))))))</x:f>
      </x:c>
    </x:row>
    <x:row r="889">
      <x:c r="A889" s="40"/>
      <x:c r="I889" s="42"/>
      <x:c r="J889" s="42" t="str">
        <x:f>IF(OR(H889="",I889=""),"",H889*I889)</x:f>
      </x:c>
      <x:c r="K889" s="40"/>
      <x:c r="L889" t="str">
        <x:f>IF(K889="","",A889-K889)</x:f>
      </x:c>
      <x:c r="M889" t="str">
        <x:f>IF(L889="","",IF(N889="Yes","Strategic Legacy",IF(L889&lt;=90,"Active",IF(L889&lt;=180,"Monitor",IF(L889&lt;=365,"Slow-Moving",IF(L889&lt;=730,"Excess","Obsolete"))))))</x:f>
      </x:c>
    </x:row>
    <x:row r="890">
      <x:c r="A890" s="40"/>
      <x:c r="I890" s="42"/>
      <x:c r="J890" s="42" t="str">
        <x:f>IF(OR(H890="",I890=""),"",H890*I890)</x:f>
      </x:c>
      <x:c r="K890" s="40"/>
      <x:c r="L890" t="str">
        <x:f>IF(K890="","",A890-K890)</x:f>
      </x:c>
      <x:c r="M890" t="str">
        <x:f>IF(L890="","",IF(N890="Yes","Strategic Legacy",IF(L890&lt;=90,"Active",IF(L890&lt;=180,"Monitor",IF(L890&lt;=365,"Slow-Moving",IF(L890&lt;=730,"Excess","Obsolete"))))))</x:f>
      </x:c>
    </x:row>
    <x:row r="891">
      <x:c r="A891" s="40"/>
      <x:c r="I891" s="42"/>
      <x:c r="J891" s="42" t="str">
        <x:f>IF(OR(H891="",I891=""),"",H891*I891)</x:f>
      </x:c>
      <x:c r="K891" s="40"/>
      <x:c r="L891" t="str">
        <x:f>IF(K891="","",A891-K891)</x:f>
      </x:c>
      <x:c r="M891" t="str">
        <x:f>IF(L891="","",IF(N891="Yes","Strategic Legacy",IF(L891&lt;=90,"Active",IF(L891&lt;=180,"Monitor",IF(L891&lt;=365,"Slow-Moving",IF(L891&lt;=730,"Excess","Obsolete"))))))</x:f>
      </x:c>
    </x:row>
    <x:row r="892">
      <x:c r="A892" s="40"/>
      <x:c r="I892" s="42"/>
      <x:c r="J892" s="42" t="str">
        <x:f>IF(OR(H892="",I892=""),"",H892*I892)</x:f>
      </x:c>
      <x:c r="K892" s="40"/>
      <x:c r="L892" t="str">
        <x:f>IF(K892="","",A892-K892)</x:f>
      </x:c>
      <x:c r="M892" t="str">
        <x:f>IF(L892="","",IF(N892="Yes","Strategic Legacy",IF(L892&lt;=90,"Active",IF(L892&lt;=180,"Monitor",IF(L892&lt;=365,"Slow-Moving",IF(L892&lt;=730,"Excess","Obsolete"))))))</x:f>
      </x:c>
    </x:row>
    <x:row r="893">
      <x:c r="A893" s="40"/>
      <x:c r="I893" s="42"/>
      <x:c r="J893" s="42" t="str">
        <x:f>IF(OR(H893="",I893=""),"",H893*I893)</x:f>
      </x:c>
      <x:c r="K893" s="40"/>
      <x:c r="L893" t="str">
        <x:f>IF(K893="","",A893-K893)</x:f>
      </x:c>
      <x:c r="M893" t="str">
        <x:f>IF(L893="","",IF(N893="Yes","Strategic Legacy",IF(L893&lt;=90,"Active",IF(L893&lt;=180,"Monitor",IF(L893&lt;=365,"Slow-Moving",IF(L893&lt;=730,"Excess","Obsolete"))))))</x:f>
      </x:c>
    </x:row>
    <x:row r="894">
      <x:c r="A894" s="40"/>
      <x:c r="I894" s="42"/>
      <x:c r="J894" s="42" t="str">
        <x:f>IF(OR(H894="",I894=""),"",H894*I894)</x:f>
      </x:c>
      <x:c r="K894" s="40"/>
      <x:c r="L894" t="str">
        <x:f>IF(K894="","",A894-K894)</x:f>
      </x:c>
      <x:c r="M894" t="str">
        <x:f>IF(L894="","",IF(N894="Yes","Strategic Legacy",IF(L894&lt;=90,"Active",IF(L894&lt;=180,"Monitor",IF(L894&lt;=365,"Slow-Moving",IF(L894&lt;=730,"Excess","Obsolete"))))))</x:f>
      </x:c>
    </x:row>
    <x:row r="895">
      <x:c r="A895" s="40"/>
      <x:c r="I895" s="42"/>
      <x:c r="J895" s="42" t="str">
        <x:f>IF(OR(H895="",I895=""),"",H895*I895)</x:f>
      </x:c>
      <x:c r="K895" s="40"/>
      <x:c r="L895" t="str">
        <x:f>IF(K895="","",A895-K895)</x:f>
      </x:c>
      <x:c r="M895" t="str">
        <x:f>IF(L895="","",IF(N895="Yes","Strategic Legacy",IF(L895&lt;=90,"Active",IF(L895&lt;=180,"Monitor",IF(L895&lt;=365,"Slow-Moving",IF(L895&lt;=730,"Excess","Obsolete"))))))</x:f>
      </x:c>
    </x:row>
    <x:row r="896">
      <x:c r="A896" s="40"/>
      <x:c r="I896" s="42"/>
      <x:c r="J896" s="42" t="str">
        <x:f>IF(OR(H896="",I896=""),"",H896*I896)</x:f>
      </x:c>
      <x:c r="K896" s="40"/>
      <x:c r="L896" t="str">
        <x:f>IF(K896="","",A896-K896)</x:f>
      </x:c>
      <x:c r="M896" t="str">
        <x:f>IF(L896="","",IF(N896="Yes","Strategic Legacy",IF(L896&lt;=90,"Active",IF(L896&lt;=180,"Monitor",IF(L896&lt;=365,"Slow-Moving",IF(L896&lt;=730,"Excess","Obsolete"))))))</x:f>
      </x:c>
    </x:row>
    <x:row r="897">
      <x:c r="A897" s="40"/>
      <x:c r="I897" s="42"/>
      <x:c r="J897" s="42" t="str">
        <x:f>IF(OR(H897="",I897=""),"",H897*I897)</x:f>
      </x:c>
      <x:c r="K897" s="40"/>
      <x:c r="L897" t="str">
        <x:f>IF(K897="","",A897-K897)</x:f>
      </x:c>
      <x:c r="M897" t="str">
        <x:f>IF(L897="","",IF(N897="Yes","Strategic Legacy",IF(L897&lt;=90,"Active",IF(L897&lt;=180,"Monitor",IF(L897&lt;=365,"Slow-Moving",IF(L897&lt;=730,"Excess","Obsolete"))))))</x:f>
      </x:c>
    </x:row>
    <x:row r="898">
      <x:c r="A898" s="40"/>
      <x:c r="I898" s="42"/>
      <x:c r="J898" s="42" t="str">
        <x:f>IF(OR(H898="",I898=""),"",H898*I898)</x:f>
      </x:c>
      <x:c r="K898" s="40"/>
      <x:c r="L898" t="str">
        <x:f>IF(K898="","",A898-K898)</x:f>
      </x:c>
      <x:c r="M898" t="str">
        <x:f>IF(L898="","",IF(N898="Yes","Strategic Legacy",IF(L898&lt;=90,"Active",IF(L898&lt;=180,"Monitor",IF(L898&lt;=365,"Slow-Moving",IF(L898&lt;=730,"Excess","Obsolete"))))))</x:f>
      </x:c>
    </x:row>
    <x:row r="899">
      <x:c r="A899" s="40"/>
      <x:c r="I899" s="42"/>
      <x:c r="J899" s="42" t="str">
        <x:f>IF(OR(H899="",I899=""),"",H899*I899)</x:f>
      </x:c>
      <x:c r="K899" s="40"/>
      <x:c r="L899" t="str">
        <x:f>IF(K899="","",A899-K899)</x:f>
      </x:c>
      <x:c r="M899" t="str">
        <x:f>IF(L899="","",IF(N899="Yes","Strategic Legacy",IF(L899&lt;=90,"Active",IF(L899&lt;=180,"Monitor",IF(L899&lt;=365,"Slow-Moving",IF(L899&lt;=730,"Excess","Obsolete"))))))</x:f>
      </x:c>
    </x:row>
    <x:row r="900">
      <x:c r="A900" s="40"/>
      <x:c r="I900" s="42"/>
      <x:c r="J900" s="42" t="str">
        <x:f>IF(OR(H900="",I900=""),"",H900*I900)</x:f>
      </x:c>
      <x:c r="K900" s="40"/>
      <x:c r="L900" t="str">
        <x:f>IF(K900="","",A900-K900)</x:f>
      </x:c>
      <x:c r="M900" t="str">
        <x:f>IF(L900="","",IF(N900="Yes","Strategic Legacy",IF(L900&lt;=90,"Active",IF(L900&lt;=180,"Monitor",IF(L900&lt;=365,"Slow-Moving",IF(L900&lt;=730,"Excess","Obsolete"))))))</x:f>
      </x:c>
    </x:row>
    <x:row r="901">
      <x:c r="A901" s="40"/>
      <x:c r="I901" s="42"/>
      <x:c r="J901" s="42" t="str">
        <x:f>IF(OR(H901="",I901=""),"",H901*I901)</x:f>
      </x:c>
      <x:c r="K901" s="40"/>
      <x:c r="L901" t="str">
        <x:f>IF(K901="","",A901-K901)</x:f>
      </x:c>
      <x:c r="M901" t="str">
        <x:f>IF(L901="","",IF(N901="Yes","Strategic Legacy",IF(L901&lt;=90,"Active",IF(L901&lt;=180,"Monitor",IF(L901&lt;=365,"Slow-Moving",IF(L901&lt;=730,"Excess","Obsolete"))))))</x:f>
      </x:c>
    </x:row>
    <x:row r="902">
      <x:c r="A902" s="40"/>
      <x:c r="I902" s="42"/>
      <x:c r="J902" s="42" t="str">
        <x:f>IF(OR(H902="",I902=""),"",H902*I902)</x:f>
      </x:c>
      <x:c r="K902" s="40"/>
      <x:c r="L902" t="str">
        <x:f>IF(K902="","",A902-K902)</x:f>
      </x:c>
      <x:c r="M902" t="str">
        <x:f>IF(L902="","",IF(N902="Yes","Strategic Legacy",IF(L902&lt;=90,"Active",IF(L902&lt;=180,"Monitor",IF(L902&lt;=365,"Slow-Moving",IF(L902&lt;=730,"Excess","Obsolete"))))))</x:f>
      </x:c>
    </x:row>
    <x:row r="903">
      <x:c r="A903" s="40"/>
      <x:c r="I903" s="42"/>
      <x:c r="J903" s="42" t="str">
        <x:f>IF(OR(H903="",I903=""),"",H903*I903)</x:f>
      </x:c>
      <x:c r="K903" s="40"/>
      <x:c r="L903" t="str">
        <x:f>IF(K903="","",A903-K903)</x:f>
      </x:c>
      <x:c r="M903" t="str">
        <x:f>IF(L903="","",IF(N903="Yes","Strategic Legacy",IF(L903&lt;=90,"Active",IF(L903&lt;=180,"Monitor",IF(L903&lt;=365,"Slow-Moving",IF(L903&lt;=730,"Excess","Obsolete"))))))</x:f>
      </x:c>
    </x:row>
    <x:row r="904">
      <x:c r="A904" s="40"/>
      <x:c r="I904" s="42"/>
      <x:c r="J904" s="42" t="str">
        <x:f>IF(OR(H904="",I904=""),"",H904*I904)</x:f>
      </x:c>
      <x:c r="K904" s="40"/>
      <x:c r="L904" t="str">
        <x:f>IF(K904="","",A904-K904)</x:f>
      </x:c>
      <x:c r="M904" t="str">
        <x:f>IF(L904="","",IF(N904="Yes","Strategic Legacy",IF(L904&lt;=90,"Active",IF(L904&lt;=180,"Monitor",IF(L904&lt;=365,"Slow-Moving",IF(L904&lt;=730,"Excess","Obsolete"))))))</x:f>
      </x:c>
    </x:row>
    <x:row r="905">
      <x:c r="A905" s="40"/>
      <x:c r="I905" s="42"/>
      <x:c r="J905" s="42" t="str">
        <x:f>IF(OR(H905="",I905=""),"",H905*I905)</x:f>
      </x:c>
      <x:c r="K905" s="40"/>
      <x:c r="L905" t="str">
        <x:f>IF(K905="","",A905-K905)</x:f>
      </x:c>
      <x:c r="M905" t="str">
        <x:f>IF(L905="","",IF(N905="Yes","Strategic Legacy",IF(L905&lt;=90,"Active",IF(L905&lt;=180,"Monitor",IF(L905&lt;=365,"Slow-Moving",IF(L905&lt;=730,"Excess","Obsolete"))))))</x:f>
      </x:c>
    </x:row>
    <x:row r="906">
      <x:c r="A906" s="40"/>
      <x:c r="I906" s="42"/>
      <x:c r="J906" s="42" t="str">
        <x:f>IF(OR(H906="",I906=""),"",H906*I906)</x:f>
      </x:c>
      <x:c r="K906" s="40"/>
      <x:c r="L906" t="str">
        <x:f>IF(K906="","",A906-K906)</x:f>
      </x:c>
      <x:c r="M906" t="str">
        <x:f>IF(L906="","",IF(N906="Yes","Strategic Legacy",IF(L906&lt;=90,"Active",IF(L906&lt;=180,"Monitor",IF(L906&lt;=365,"Slow-Moving",IF(L906&lt;=730,"Excess","Obsolete"))))))</x:f>
      </x:c>
    </x:row>
    <x:row r="907">
      <x:c r="A907" s="40"/>
      <x:c r="I907" s="42"/>
      <x:c r="J907" s="42" t="str">
        <x:f>IF(OR(H907="",I907=""),"",H907*I907)</x:f>
      </x:c>
      <x:c r="K907" s="40"/>
      <x:c r="L907" t="str">
        <x:f>IF(K907="","",A907-K907)</x:f>
      </x:c>
      <x:c r="M907" t="str">
        <x:f>IF(L907="","",IF(N907="Yes","Strategic Legacy",IF(L907&lt;=90,"Active",IF(L907&lt;=180,"Monitor",IF(L907&lt;=365,"Slow-Moving",IF(L907&lt;=730,"Excess","Obsolete"))))))</x:f>
      </x:c>
    </x:row>
    <x:row r="908">
      <x:c r="A908" s="40"/>
      <x:c r="I908" s="42"/>
      <x:c r="J908" s="42" t="str">
        <x:f>IF(OR(H908="",I908=""),"",H908*I908)</x:f>
      </x:c>
      <x:c r="K908" s="40"/>
      <x:c r="L908" t="str">
        <x:f>IF(K908="","",A908-K908)</x:f>
      </x:c>
      <x:c r="M908" t="str">
        <x:f>IF(L908="","",IF(N908="Yes","Strategic Legacy",IF(L908&lt;=90,"Active",IF(L908&lt;=180,"Monitor",IF(L908&lt;=365,"Slow-Moving",IF(L908&lt;=730,"Excess","Obsolete"))))))</x:f>
      </x:c>
    </x:row>
    <x:row r="909">
      <x:c r="A909" s="40"/>
      <x:c r="I909" s="42"/>
      <x:c r="J909" s="42" t="str">
        <x:f>IF(OR(H909="",I909=""),"",H909*I909)</x:f>
      </x:c>
      <x:c r="K909" s="40"/>
      <x:c r="L909" t="str">
        <x:f>IF(K909="","",A909-K909)</x:f>
      </x:c>
      <x:c r="M909" t="str">
        <x:f>IF(L909="","",IF(N909="Yes","Strategic Legacy",IF(L909&lt;=90,"Active",IF(L909&lt;=180,"Monitor",IF(L909&lt;=365,"Slow-Moving",IF(L909&lt;=730,"Excess","Obsolete"))))))</x:f>
      </x:c>
    </x:row>
    <x:row r="910">
      <x:c r="A910" s="40"/>
      <x:c r="I910" s="42"/>
      <x:c r="J910" s="42" t="str">
        <x:f>IF(OR(H910="",I910=""),"",H910*I910)</x:f>
      </x:c>
      <x:c r="K910" s="40"/>
      <x:c r="L910" t="str">
        <x:f>IF(K910="","",A910-K910)</x:f>
      </x:c>
      <x:c r="M910" t="str">
        <x:f>IF(L910="","",IF(N910="Yes","Strategic Legacy",IF(L910&lt;=90,"Active",IF(L910&lt;=180,"Monitor",IF(L910&lt;=365,"Slow-Moving",IF(L910&lt;=730,"Excess","Obsolete"))))))</x:f>
      </x:c>
    </x:row>
    <x:row r="911">
      <x:c r="A911" s="40"/>
      <x:c r="I911" s="42"/>
      <x:c r="J911" s="42" t="str">
        <x:f>IF(OR(H911="",I911=""),"",H911*I911)</x:f>
      </x:c>
      <x:c r="K911" s="40"/>
      <x:c r="L911" t="str">
        <x:f>IF(K911="","",A911-K911)</x:f>
      </x:c>
      <x:c r="M911" t="str">
        <x:f>IF(L911="","",IF(N911="Yes","Strategic Legacy",IF(L911&lt;=90,"Active",IF(L911&lt;=180,"Monitor",IF(L911&lt;=365,"Slow-Moving",IF(L911&lt;=730,"Excess","Obsolete"))))))</x:f>
      </x:c>
    </x:row>
    <x:row r="912">
      <x:c r="A912" s="40"/>
      <x:c r="I912" s="42"/>
      <x:c r="J912" s="42" t="str">
        <x:f>IF(OR(H912="",I912=""),"",H912*I912)</x:f>
      </x:c>
      <x:c r="K912" s="40"/>
      <x:c r="L912" t="str">
        <x:f>IF(K912="","",A912-K912)</x:f>
      </x:c>
      <x:c r="M912" t="str">
        <x:f>IF(L912="","",IF(N912="Yes","Strategic Legacy",IF(L912&lt;=90,"Active",IF(L912&lt;=180,"Monitor",IF(L912&lt;=365,"Slow-Moving",IF(L912&lt;=730,"Excess","Obsolete"))))))</x:f>
      </x:c>
    </x:row>
    <x:row r="913">
      <x:c r="A913" s="40"/>
      <x:c r="I913" s="42"/>
      <x:c r="J913" s="42" t="str">
        <x:f>IF(OR(H913="",I913=""),"",H913*I913)</x:f>
      </x:c>
      <x:c r="K913" s="40"/>
      <x:c r="L913" t="str">
        <x:f>IF(K913="","",A913-K913)</x:f>
      </x:c>
      <x:c r="M913" t="str">
        <x:f>IF(L913="","",IF(N913="Yes","Strategic Legacy",IF(L913&lt;=90,"Active",IF(L913&lt;=180,"Monitor",IF(L913&lt;=365,"Slow-Moving",IF(L913&lt;=730,"Excess","Obsolete"))))))</x:f>
      </x:c>
    </x:row>
    <x:row r="914">
      <x:c r="A914" s="40"/>
      <x:c r="I914" s="42"/>
      <x:c r="J914" s="42" t="str">
        <x:f>IF(OR(H914="",I914=""),"",H914*I914)</x:f>
      </x:c>
      <x:c r="K914" s="40"/>
      <x:c r="L914" t="str">
        <x:f>IF(K914="","",A914-K914)</x:f>
      </x:c>
      <x:c r="M914" t="str">
        <x:f>IF(L914="","",IF(N914="Yes","Strategic Legacy",IF(L914&lt;=90,"Active",IF(L914&lt;=180,"Monitor",IF(L914&lt;=365,"Slow-Moving",IF(L914&lt;=730,"Excess","Obsolete"))))))</x:f>
      </x:c>
    </x:row>
    <x:row r="915">
      <x:c r="A915" s="40"/>
      <x:c r="I915" s="42"/>
      <x:c r="J915" s="42" t="str">
        <x:f>IF(OR(H915="",I915=""),"",H915*I915)</x:f>
      </x:c>
      <x:c r="K915" s="40"/>
      <x:c r="L915" t="str">
        <x:f>IF(K915="","",A915-K915)</x:f>
      </x:c>
      <x:c r="M915" t="str">
        <x:f>IF(L915="","",IF(N915="Yes","Strategic Legacy",IF(L915&lt;=90,"Active",IF(L915&lt;=180,"Monitor",IF(L915&lt;=365,"Slow-Moving",IF(L915&lt;=730,"Excess","Obsolete"))))))</x:f>
      </x:c>
    </x:row>
    <x:row r="916">
      <x:c r="A916" s="40"/>
      <x:c r="I916" s="42"/>
      <x:c r="J916" s="42" t="str">
        <x:f>IF(OR(H916="",I916=""),"",H916*I916)</x:f>
      </x:c>
      <x:c r="K916" s="40"/>
      <x:c r="L916" t="str">
        <x:f>IF(K916="","",A916-K916)</x:f>
      </x:c>
      <x:c r="M916" t="str">
        <x:f>IF(L916="","",IF(N916="Yes","Strategic Legacy",IF(L916&lt;=90,"Active",IF(L916&lt;=180,"Monitor",IF(L916&lt;=365,"Slow-Moving",IF(L916&lt;=730,"Excess","Obsolete"))))))</x:f>
      </x:c>
    </x:row>
    <x:row r="917">
      <x:c r="A917" s="40"/>
      <x:c r="I917" s="42"/>
      <x:c r="J917" s="42" t="str">
        <x:f>IF(OR(H917="",I917=""),"",H917*I917)</x:f>
      </x:c>
      <x:c r="K917" s="40"/>
      <x:c r="L917" t="str">
        <x:f>IF(K917="","",A917-K917)</x:f>
      </x:c>
      <x:c r="M917" t="str">
        <x:f>IF(L917="","",IF(N917="Yes","Strategic Legacy",IF(L917&lt;=90,"Active",IF(L917&lt;=180,"Monitor",IF(L917&lt;=365,"Slow-Moving",IF(L917&lt;=730,"Excess","Obsolete"))))))</x:f>
      </x:c>
    </x:row>
    <x:row r="918">
      <x:c r="A918" s="40"/>
      <x:c r="I918" s="42"/>
      <x:c r="J918" s="42" t="str">
        <x:f>IF(OR(H918="",I918=""),"",H918*I918)</x:f>
      </x:c>
      <x:c r="K918" s="40"/>
      <x:c r="L918" t="str">
        <x:f>IF(K918="","",A918-K918)</x:f>
      </x:c>
      <x:c r="M918" t="str">
        <x:f>IF(L918="","",IF(N918="Yes","Strategic Legacy",IF(L918&lt;=90,"Active",IF(L918&lt;=180,"Monitor",IF(L918&lt;=365,"Slow-Moving",IF(L918&lt;=730,"Excess","Obsolete"))))))</x:f>
      </x:c>
    </x:row>
    <x:row r="919">
      <x:c r="A919" s="40"/>
      <x:c r="I919" s="42"/>
      <x:c r="J919" s="42" t="str">
        <x:f>IF(OR(H919="",I919=""),"",H919*I919)</x:f>
      </x:c>
      <x:c r="K919" s="40"/>
      <x:c r="L919" t="str">
        <x:f>IF(K919="","",A919-K919)</x:f>
      </x:c>
      <x:c r="M919" t="str">
        <x:f>IF(L919="","",IF(N919="Yes","Strategic Legacy",IF(L919&lt;=90,"Active",IF(L919&lt;=180,"Monitor",IF(L919&lt;=365,"Slow-Moving",IF(L919&lt;=730,"Excess","Obsolete"))))))</x:f>
      </x:c>
    </x:row>
    <x:row r="920">
      <x:c r="A920" s="40"/>
      <x:c r="I920" s="42"/>
      <x:c r="J920" s="42" t="str">
        <x:f>IF(OR(H920="",I920=""),"",H920*I920)</x:f>
      </x:c>
      <x:c r="K920" s="40"/>
      <x:c r="L920" t="str">
        <x:f>IF(K920="","",A920-K920)</x:f>
      </x:c>
      <x:c r="M920" t="str">
        <x:f>IF(L920="","",IF(N920="Yes","Strategic Legacy",IF(L920&lt;=90,"Active",IF(L920&lt;=180,"Monitor",IF(L920&lt;=365,"Slow-Moving",IF(L920&lt;=730,"Excess","Obsolete"))))))</x:f>
      </x:c>
    </x:row>
    <x:row r="921">
      <x:c r="A921" s="40"/>
      <x:c r="I921" s="42"/>
      <x:c r="J921" s="42" t="str">
        <x:f>IF(OR(H921="",I921=""),"",H921*I921)</x:f>
      </x:c>
      <x:c r="K921" s="40"/>
      <x:c r="L921" t="str">
        <x:f>IF(K921="","",A921-K921)</x:f>
      </x:c>
      <x:c r="M921" t="str">
        <x:f>IF(L921="","",IF(N921="Yes","Strategic Legacy",IF(L921&lt;=90,"Active",IF(L921&lt;=180,"Monitor",IF(L921&lt;=365,"Slow-Moving",IF(L921&lt;=730,"Excess","Obsolete"))))))</x:f>
      </x:c>
    </x:row>
    <x:row r="922">
      <x:c r="A922" s="40"/>
      <x:c r="I922" s="42"/>
      <x:c r="J922" s="42" t="str">
        <x:f>IF(OR(H922="",I922=""),"",H922*I922)</x:f>
      </x:c>
      <x:c r="K922" s="40"/>
      <x:c r="L922" t="str">
        <x:f>IF(K922="","",A922-K922)</x:f>
      </x:c>
      <x:c r="M922" t="str">
        <x:f>IF(L922="","",IF(N922="Yes","Strategic Legacy",IF(L922&lt;=90,"Active",IF(L922&lt;=180,"Monitor",IF(L922&lt;=365,"Slow-Moving",IF(L922&lt;=730,"Excess","Obsolete"))))))</x:f>
      </x:c>
    </x:row>
    <x:row r="923">
      <x:c r="A923" s="40"/>
      <x:c r="I923" s="42"/>
      <x:c r="J923" s="42" t="str">
        <x:f>IF(OR(H923="",I923=""),"",H923*I923)</x:f>
      </x:c>
      <x:c r="K923" s="40"/>
      <x:c r="L923" t="str">
        <x:f>IF(K923="","",A923-K923)</x:f>
      </x:c>
      <x:c r="M923" t="str">
        <x:f>IF(L923="","",IF(N923="Yes","Strategic Legacy",IF(L923&lt;=90,"Active",IF(L923&lt;=180,"Monitor",IF(L923&lt;=365,"Slow-Moving",IF(L923&lt;=730,"Excess","Obsolete"))))))</x:f>
      </x:c>
    </x:row>
    <x:row r="924">
      <x:c r="A924" s="40"/>
      <x:c r="I924" s="42"/>
      <x:c r="J924" s="42" t="str">
        <x:f>IF(OR(H924="",I924=""),"",H924*I924)</x:f>
      </x:c>
      <x:c r="K924" s="40"/>
      <x:c r="L924" t="str">
        <x:f>IF(K924="","",A924-K924)</x:f>
      </x:c>
      <x:c r="M924" t="str">
        <x:f>IF(L924="","",IF(N924="Yes","Strategic Legacy",IF(L924&lt;=90,"Active",IF(L924&lt;=180,"Monitor",IF(L924&lt;=365,"Slow-Moving",IF(L924&lt;=730,"Excess","Obsolete"))))))</x:f>
      </x:c>
    </x:row>
    <x:row r="925">
      <x:c r="A925" s="40"/>
      <x:c r="I925" s="42"/>
      <x:c r="J925" s="42" t="str">
        <x:f>IF(OR(H925="",I925=""),"",H925*I925)</x:f>
      </x:c>
      <x:c r="K925" s="40"/>
      <x:c r="L925" t="str">
        <x:f>IF(K925="","",A925-K925)</x:f>
      </x:c>
      <x:c r="M925" t="str">
        <x:f>IF(L925="","",IF(N925="Yes","Strategic Legacy",IF(L925&lt;=90,"Active",IF(L925&lt;=180,"Monitor",IF(L925&lt;=365,"Slow-Moving",IF(L925&lt;=730,"Excess","Obsolete"))))))</x:f>
      </x:c>
    </x:row>
    <x:row r="926">
      <x:c r="A926" s="40"/>
      <x:c r="I926" s="42"/>
      <x:c r="J926" s="42" t="str">
        <x:f>IF(OR(H926="",I926=""),"",H926*I926)</x:f>
      </x:c>
      <x:c r="K926" s="40"/>
      <x:c r="L926" t="str">
        <x:f>IF(K926="","",A926-K926)</x:f>
      </x:c>
      <x:c r="M926" t="str">
        <x:f>IF(L926="","",IF(N926="Yes","Strategic Legacy",IF(L926&lt;=90,"Active",IF(L926&lt;=180,"Monitor",IF(L926&lt;=365,"Slow-Moving",IF(L926&lt;=730,"Excess","Obsolete"))))))</x:f>
      </x:c>
    </x:row>
    <x:row r="927">
      <x:c r="A927" s="40"/>
      <x:c r="I927" s="42"/>
      <x:c r="J927" s="42" t="str">
        <x:f>IF(OR(H927="",I927=""),"",H927*I927)</x:f>
      </x:c>
      <x:c r="K927" s="40"/>
      <x:c r="L927" t="str">
        <x:f>IF(K927="","",A927-K927)</x:f>
      </x:c>
      <x:c r="M927" t="str">
        <x:f>IF(L927="","",IF(N927="Yes","Strategic Legacy",IF(L927&lt;=90,"Active",IF(L927&lt;=180,"Monitor",IF(L927&lt;=365,"Slow-Moving",IF(L927&lt;=730,"Excess","Obsolete"))))))</x:f>
      </x:c>
    </x:row>
    <x:row r="928">
      <x:c r="A928" s="40"/>
      <x:c r="I928" s="42"/>
      <x:c r="J928" s="42" t="str">
        <x:f>IF(OR(H928="",I928=""),"",H928*I928)</x:f>
      </x:c>
      <x:c r="K928" s="40"/>
      <x:c r="L928" t="str">
        <x:f>IF(K928="","",A928-K928)</x:f>
      </x:c>
      <x:c r="M928" t="str">
        <x:f>IF(L928="","",IF(N928="Yes","Strategic Legacy",IF(L928&lt;=90,"Active",IF(L928&lt;=180,"Monitor",IF(L928&lt;=365,"Slow-Moving",IF(L928&lt;=730,"Excess","Obsolete"))))))</x:f>
      </x:c>
    </x:row>
    <x:row r="929">
      <x:c r="A929" s="40"/>
      <x:c r="I929" s="42"/>
      <x:c r="J929" s="42" t="str">
        <x:f>IF(OR(H929="",I929=""),"",H929*I929)</x:f>
      </x:c>
      <x:c r="K929" s="40"/>
      <x:c r="L929" t="str">
        <x:f>IF(K929="","",A929-K929)</x:f>
      </x:c>
      <x:c r="M929" t="str">
        <x:f>IF(L929="","",IF(N929="Yes","Strategic Legacy",IF(L929&lt;=90,"Active",IF(L929&lt;=180,"Monitor",IF(L929&lt;=365,"Slow-Moving",IF(L929&lt;=730,"Excess","Obsolete"))))))</x:f>
      </x:c>
    </x:row>
    <x:row r="930">
      <x:c r="A930" s="40"/>
      <x:c r="I930" s="42"/>
      <x:c r="J930" s="42" t="str">
        <x:f>IF(OR(H930="",I930=""),"",H930*I930)</x:f>
      </x:c>
      <x:c r="K930" s="40"/>
      <x:c r="L930" t="str">
        <x:f>IF(K930="","",A930-K930)</x:f>
      </x:c>
      <x:c r="M930" t="str">
        <x:f>IF(L930="","",IF(N930="Yes","Strategic Legacy",IF(L930&lt;=90,"Active",IF(L930&lt;=180,"Monitor",IF(L930&lt;=365,"Slow-Moving",IF(L930&lt;=730,"Excess","Obsolete"))))))</x:f>
      </x:c>
    </x:row>
    <x:row r="931">
      <x:c r="A931" s="40"/>
      <x:c r="I931" s="42"/>
      <x:c r="J931" s="42" t="str">
        <x:f>IF(OR(H931="",I931=""),"",H931*I931)</x:f>
      </x:c>
      <x:c r="K931" s="40"/>
      <x:c r="L931" t="str">
        <x:f>IF(K931="","",A931-K931)</x:f>
      </x:c>
      <x:c r="M931" t="str">
        <x:f>IF(L931="","",IF(N931="Yes","Strategic Legacy",IF(L931&lt;=90,"Active",IF(L931&lt;=180,"Monitor",IF(L931&lt;=365,"Slow-Moving",IF(L931&lt;=730,"Excess","Obsolete"))))))</x:f>
      </x:c>
    </x:row>
    <x:row r="932">
      <x:c r="A932" s="40"/>
      <x:c r="I932" s="42"/>
      <x:c r="J932" s="42" t="str">
        <x:f>IF(OR(H932="",I932=""),"",H932*I932)</x:f>
      </x:c>
      <x:c r="K932" s="40"/>
      <x:c r="L932" t="str">
        <x:f>IF(K932="","",A932-K932)</x:f>
      </x:c>
      <x:c r="M932" t="str">
        <x:f>IF(L932="","",IF(N932="Yes","Strategic Legacy",IF(L932&lt;=90,"Active",IF(L932&lt;=180,"Monitor",IF(L932&lt;=365,"Slow-Moving",IF(L932&lt;=730,"Excess","Obsolete"))))))</x:f>
      </x:c>
    </x:row>
    <x:row r="933">
      <x:c r="A933" s="40"/>
      <x:c r="I933" s="42"/>
      <x:c r="J933" s="42" t="str">
        <x:f>IF(OR(H933="",I933=""),"",H933*I933)</x:f>
      </x:c>
      <x:c r="K933" s="40"/>
      <x:c r="L933" t="str">
        <x:f>IF(K933="","",A933-K933)</x:f>
      </x:c>
      <x:c r="M933" t="str">
        <x:f>IF(L933="","",IF(N933="Yes","Strategic Legacy",IF(L933&lt;=90,"Active",IF(L933&lt;=180,"Monitor",IF(L933&lt;=365,"Slow-Moving",IF(L933&lt;=730,"Excess","Obsolete"))))))</x:f>
      </x:c>
    </x:row>
    <x:row r="934">
      <x:c r="A934" s="40"/>
      <x:c r="I934" s="42"/>
      <x:c r="J934" s="42" t="str">
        <x:f>IF(OR(H934="",I934=""),"",H934*I934)</x:f>
      </x:c>
      <x:c r="K934" s="40"/>
      <x:c r="L934" t="str">
        <x:f>IF(K934="","",A934-K934)</x:f>
      </x:c>
      <x:c r="M934" t="str">
        <x:f>IF(L934="","",IF(N934="Yes","Strategic Legacy",IF(L934&lt;=90,"Active",IF(L934&lt;=180,"Monitor",IF(L934&lt;=365,"Slow-Moving",IF(L934&lt;=730,"Excess","Obsolete"))))))</x:f>
      </x:c>
    </x:row>
    <x:row r="935">
      <x:c r="A935" s="40"/>
      <x:c r="I935" s="42"/>
      <x:c r="J935" s="42" t="str">
        <x:f>IF(OR(H935="",I935=""),"",H935*I935)</x:f>
      </x:c>
      <x:c r="K935" s="40"/>
      <x:c r="L935" t="str">
        <x:f>IF(K935="","",A935-K935)</x:f>
      </x:c>
      <x:c r="M935" t="str">
        <x:f>IF(L935="","",IF(N935="Yes","Strategic Legacy",IF(L935&lt;=90,"Active",IF(L935&lt;=180,"Monitor",IF(L935&lt;=365,"Slow-Moving",IF(L935&lt;=730,"Excess","Obsolete"))))))</x:f>
      </x:c>
    </x:row>
    <x:row r="936">
      <x:c r="A936" s="40"/>
      <x:c r="I936" s="42"/>
      <x:c r="J936" s="42" t="str">
        <x:f>IF(OR(H936="",I936=""),"",H936*I936)</x:f>
      </x:c>
      <x:c r="K936" s="40"/>
      <x:c r="L936" t="str">
        <x:f>IF(K936="","",A936-K936)</x:f>
      </x:c>
      <x:c r="M936" t="str">
        <x:f>IF(L936="","",IF(N936="Yes","Strategic Legacy",IF(L936&lt;=90,"Active",IF(L936&lt;=180,"Monitor",IF(L936&lt;=365,"Slow-Moving",IF(L936&lt;=730,"Excess","Obsolete"))))))</x:f>
      </x:c>
    </x:row>
    <x:row r="937">
      <x:c r="A937" s="40"/>
      <x:c r="I937" s="42"/>
      <x:c r="J937" s="42" t="str">
        <x:f>IF(OR(H937="",I937=""),"",H937*I937)</x:f>
      </x:c>
      <x:c r="K937" s="40"/>
      <x:c r="L937" t="str">
        <x:f>IF(K937="","",A937-K937)</x:f>
      </x:c>
      <x:c r="M937" t="str">
        <x:f>IF(L937="","",IF(N937="Yes","Strategic Legacy",IF(L937&lt;=90,"Active",IF(L937&lt;=180,"Monitor",IF(L937&lt;=365,"Slow-Moving",IF(L937&lt;=730,"Excess","Obsolete"))))))</x:f>
      </x:c>
    </x:row>
    <x:row r="938">
      <x:c r="A938" s="40"/>
      <x:c r="I938" s="42"/>
      <x:c r="J938" s="42" t="str">
        <x:f>IF(OR(H938="",I938=""),"",H938*I938)</x:f>
      </x:c>
      <x:c r="K938" s="40"/>
      <x:c r="L938" t="str">
        <x:f>IF(K938="","",A938-K938)</x:f>
      </x:c>
      <x:c r="M938" t="str">
        <x:f>IF(L938="","",IF(N938="Yes","Strategic Legacy",IF(L938&lt;=90,"Active",IF(L938&lt;=180,"Monitor",IF(L938&lt;=365,"Slow-Moving",IF(L938&lt;=730,"Excess","Obsolete"))))))</x:f>
      </x:c>
    </x:row>
    <x:row r="939">
      <x:c r="A939" s="40"/>
      <x:c r="I939" s="42"/>
      <x:c r="J939" s="42" t="str">
        <x:f>IF(OR(H939="",I939=""),"",H939*I939)</x:f>
      </x:c>
      <x:c r="K939" s="40"/>
      <x:c r="L939" t="str">
        <x:f>IF(K939="","",A939-K939)</x:f>
      </x:c>
      <x:c r="M939" t="str">
        <x:f>IF(L939="","",IF(N939="Yes","Strategic Legacy",IF(L939&lt;=90,"Active",IF(L939&lt;=180,"Monitor",IF(L939&lt;=365,"Slow-Moving",IF(L939&lt;=730,"Excess","Obsolete"))))))</x:f>
      </x:c>
    </x:row>
    <x:row r="940">
      <x:c r="A940" s="40"/>
      <x:c r="I940" s="42"/>
      <x:c r="J940" s="42" t="str">
        <x:f>IF(OR(H940="",I940=""),"",H940*I940)</x:f>
      </x:c>
      <x:c r="K940" s="40"/>
      <x:c r="L940" t="str">
        <x:f>IF(K940="","",A940-K940)</x:f>
      </x:c>
      <x:c r="M940" t="str">
        <x:f>IF(L940="","",IF(N940="Yes","Strategic Legacy",IF(L940&lt;=90,"Active",IF(L940&lt;=180,"Monitor",IF(L940&lt;=365,"Slow-Moving",IF(L940&lt;=730,"Excess","Obsolete"))))))</x:f>
      </x:c>
    </x:row>
    <x:row r="941">
      <x:c r="A941" s="40"/>
      <x:c r="I941" s="42"/>
      <x:c r="J941" s="42" t="str">
        <x:f>IF(OR(H941="",I941=""),"",H941*I941)</x:f>
      </x:c>
      <x:c r="K941" s="40"/>
      <x:c r="L941" t="str">
        <x:f>IF(K941="","",A941-K941)</x:f>
      </x:c>
      <x:c r="M941" t="str">
        <x:f>IF(L941="","",IF(N941="Yes","Strategic Legacy",IF(L941&lt;=90,"Active",IF(L941&lt;=180,"Monitor",IF(L941&lt;=365,"Slow-Moving",IF(L941&lt;=730,"Excess","Obsolete"))))))</x:f>
      </x:c>
    </x:row>
    <x:row r="942">
      <x:c r="A942" s="40"/>
      <x:c r="I942" s="42"/>
      <x:c r="J942" s="42" t="str">
        <x:f>IF(OR(H942="",I942=""),"",H942*I942)</x:f>
      </x:c>
      <x:c r="K942" s="40"/>
      <x:c r="L942" t="str">
        <x:f>IF(K942="","",A942-K942)</x:f>
      </x:c>
      <x:c r="M942" t="str">
        <x:f>IF(L942="","",IF(N942="Yes","Strategic Legacy",IF(L942&lt;=90,"Active",IF(L942&lt;=180,"Monitor",IF(L942&lt;=365,"Slow-Moving",IF(L942&lt;=730,"Excess","Obsolete"))))))</x:f>
      </x:c>
    </x:row>
    <x:row r="943">
      <x:c r="A943" s="40"/>
      <x:c r="I943" s="42"/>
      <x:c r="J943" s="42" t="str">
        <x:f>IF(OR(H943="",I943=""),"",H943*I943)</x:f>
      </x:c>
      <x:c r="K943" s="40"/>
      <x:c r="L943" t="str">
        <x:f>IF(K943="","",A943-K943)</x:f>
      </x:c>
      <x:c r="M943" t="str">
        <x:f>IF(L943="","",IF(N943="Yes","Strategic Legacy",IF(L943&lt;=90,"Active",IF(L943&lt;=180,"Monitor",IF(L943&lt;=365,"Slow-Moving",IF(L943&lt;=730,"Excess","Obsolete"))))))</x:f>
      </x:c>
    </x:row>
    <x:row r="944">
      <x:c r="A944" s="40"/>
      <x:c r="I944" s="42"/>
      <x:c r="J944" s="42" t="str">
        <x:f>IF(OR(H944="",I944=""),"",H944*I944)</x:f>
      </x:c>
      <x:c r="K944" s="40"/>
      <x:c r="L944" t="str">
        <x:f>IF(K944="","",A944-K944)</x:f>
      </x:c>
      <x:c r="M944" t="str">
        <x:f>IF(L944="","",IF(N944="Yes","Strategic Legacy",IF(L944&lt;=90,"Active",IF(L944&lt;=180,"Monitor",IF(L944&lt;=365,"Slow-Moving",IF(L944&lt;=730,"Excess","Obsolete"))))))</x:f>
      </x:c>
    </x:row>
    <x:row r="945">
      <x:c r="A945" s="40"/>
      <x:c r="I945" s="42"/>
      <x:c r="J945" s="42" t="str">
        <x:f>IF(OR(H945="",I945=""),"",H945*I945)</x:f>
      </x:c>
      <x:c r="K945" s="40"/>
      <x:c r="L945" t="str">
        <x:f>IF(K945="","",A945-K945)</x:f>
      </x:c>
      <x:c r="M945" t="str">
        <x:f>IF(L945="","",IF(N945="Yes","Strategic Legacy",IF(L945&lt;=90,"Active",IF(L945&lt;=180,"Monitor",IF(L945&lt;=365,"Slow-Moving",IF(L945&lt;=730,"Excess","Obsolete"))))))</x:f>
      </x:c>
    </x:row>
    <x:row r="946">
      <x:c r="A946" s="40"/>
      <x:c r="I946" s="42"/>
      <x:c r="J946" s="42" t="str">
        <x:f>IF(OR(H946="",I946=""),"",H946*I946)</x:f>
      </x:c>
      <x:c r="K946" s="40"/>
      <x:c r="L946" t="str">
        <x:f>IF(K946="","",A946-K946)</x:f>
      </x:c>
      <x:c r="M946" t="str">
        <x:f>IF(L946="","",IF(N946="Yes","Strategic Legacy",IF(L946&lt;=90,"Active",IF(L946&lt;=180,"Monitor",IF(L946&lt;=365,"Slow-Moving",IF(L946&lt;=730,"Excess","Obsolete"))))))</x:f>
      </x:c>
    </x:row>
    <x:row r="947">
      <x:c r="A947" s="40"/>
      <x:c r="I947" s="42"/>
      <x:c r="J947" s="42" t="str">
        <x:f>IF(OR(H947="",I947=""),"",H947*I947)</x:f>
      </x:c>
      <x:c r="K947" s="40"/>
      <x:c r="L947" t="str">
        <x:f>IF(K947="","",A947-K947)</x:f>
      </x:c>
      <x:c r="M947" t="str">
        <x:f>IF(L947="","",IF(N947="Yes","Strategic Legacy",IF(L947&lt;=90,"Active",IF(L947&lt;=180,"Monitor",IF(L947&lt;=365,"Slow-Moving",IF(L947&lt;=730,"Excess","Obsolete"))))))</x:f>
      </x:c>
    </x:row>
    <x:row r="948">
      <x:c r="A948" s="40"/>
      <x:c r="I948" s="42"/>
      <x:c r="J948" s="42" t="str">
        <x:f>IF(OR(H948="",I948=""),"",H948*I948)</x:f>
      </x:c>
      <x:c r="K948" s="40"/>
      <x:c r="L948" t="str">
        <x:f>IF(K948="","",A948-K948)</x:f>
      </x:c>
      <x:c r="M948" t="str">
        <x:f>IF(L948="","",IF(N948="Yes","Strategic Legacy",IF(L948&lt;=90,"Active",IF(L948&lt;=180,"Monitor",IF(L948&lt;=365,"Slow-Moving",IF(L948&lt;=730,"Excess","Obsolete"))))))</x:f>
      </x:c>
    </x:row>
    <x:row r="949">
      <x:c r="A949" s="40"/>
      <x:c r="I949" s="42"/>
      <x:c r="J949" s="42" t="str">
        <x:f>IF(OR(H949="",I949=""),"",H949*I949)</x:f>
      </x:c>
      <x:c r="K949" s="40"/>
      <x:c r="L949" t="str">
        <x:f>IF(K949="","",A949-K949)</x:f>
      </x:c>
      <x:c r="M949" t="str">
        <x:f>IF(L949="","",IF(N949="Yes","Strategic Legacy",IF(L949&lt;=90,"Active",IF(L949&lt;=180,"Monitor",IF(L949&lt;=365,"Slow-Moving",IF(L949&lt;=730,"Excess","Obsolete"))))))</x:f>
      </x:c>
    </x:row>
    <x:row r="950">
      <x:c r="A950" s="40"/>
      <x:c r="I950" s="42"/>
      <x:c r="J950" s="42" t="str">
        <x:f>IF(OR(H950="",I950=""),"",H950*I950)</x:f>
      </x:c>
      <x:c r="K950" s="40"/>
      <x:c r="L950" t="str">
        <x:f>IF(K950="","",A950-K950)</x:f>
      </x:c>
      <x:c r="M950" t="str">
        <x:f>IF(L950="","",IF(N950="Yes","Strategic Legacy",IF(L950&lt;=90,"Active",IF(L950&lt;=180,"Monitor",IF(L950&lt;=365,"Slow-Moving",IF(L950&lt;=730,"Excess","Obsolete"))))))</x:f>
      </x:c>
    </x:row>
    <x:row r="951">
      <x:c r="A951" s="40"/>
      <x:c r="I951" s="42"/>
      <x:c r="J951" s="42" t="str">
        <x:f>IF(OR(H951="",I951=""),"",H951*I951)</x:f>
      </x:c>
      <x:c r="K951" s="40"/>
      <x:c r="L951" t="str">
        <x:f>IF(K951="","",A951-K951)</x:f>
      </x:c>
      <x:c r="M951" t="str">
        <x:f>IF(L951="","",IF(N951="Yes","Strategic Legacy",IF(L951&lt;=90,"Active",IF(L951&lt;=180,"Monitor",IF(L951&lt;=365,"Slow-Moving",IF(L951&lt;=730,"Excess","Obsolete"))))))</x:f>
      </x:c>
    </x:row>
    <x:row r="952">
      <x:c r="A952" s="40"/>
      <x:c r="I952" s="42"/>
      <x:c r="J952" s="42" t="str">
        <x:f>IF(OR(H952="",I952=""),"",H952*I952)</x:f>
      </x:c>
      <x:c r="K952" s="40"/>
      <x:c r="L952" t="str">
        <x:f>IF(K952="","",A952-K952)</x:f>
      </x:c>
      <x:c r="M952" t="str">
        <x:f>IF(L952="","",IF(N952="Yes","Strategic Legacy",IF(L952&lt;=90,"Active",IF(L952&lt;=180,"Monitor",IF(L952&lt;=365,"Slow-Moving",IF(L952&lt;=730,"Excess","Obsolete"))))))</x:f>
      </x:c>
    </x:row>
    <x:row r="953">
      <x:c r="A953" s="40"/>
      <x:c r="I953" s="42"/>
      <x:c r="J953" s="42" t="str">
        <x:f>IF(OR(H953="",I953=""),"",H953*I953)</x:f>
      </x:c>
      <x:c r="K953" s="40"/>
      <x:c r="L953" t="str">
        <x:f>IF(K953="","",A953-K953)</x:f>
      </x:c>
      <x:c r="M953" t="str">
        <x:f>IF(L953="","",IF(N953="Yes","Strategic Legacy",IF(L953&lt;=90,"Active",IF(L953&lt;=180,"Monitor",IF(L953&lt;=365,"Slow-Moving",IF(L953&lt;=730,"Excess","Obsolete"))))))</x:f>
      </x:c>
    </x:row>
    <x:row r="954">
      <x:c r="A954" s="40"/>
      <x:c r="I954" s="42"/>
      <x:c r="J954" s="42" t="str">
        <x:f>IF(OR(H954="",I954=""),"",H954*I954)</x:f>
      </x:c>
      <x:c r="K954" s="40"/>
      <x:c r="L954" t="str">
        <x:f>IF(K954="","",A954-K954)</x:f>
      </x:c>
      <x:c r="M954" t="str">
        <x:f>IF(L954="","",IF(N954="Yes","Strategic Legacy",IF(L954&lt;=90,"Active",IF(L954&lt;=180,"Monitor",IF(L954&lt;=365,"Slow-Moving",IF(L954&lt;=730,"Excess","Obsolete"))))))</x:f>
      </x:c>
    </x:row>
    <x:row r="955">
      <x:c r="A955" s="40"/>
      <x:c r="I955" s="42"/>
      <x:c r="J955" s="42" t="str">
        <x:f>IF(OR(H955="",I955=""),"",H955*I955)</x:f>
      </x:c>
      <x:c r="K955" s="40"/>
      <x:c r="L955" t="str">
        <x:f>IF(K955="","",A955-K955)</x:f>
      </x:c>
      <x:c r="M955" t="str">
        <x:f>IF(L955="","",IF(N955="Yes","Strategic Legacy",IF(L955&lt;=90,"Active",IF(L955&lt;=180,"Monitor",IF(L955&lt;=365,"Slow-Moving",IF(L955&lt;=730,"Excess","Obsolete"))))))</x:f>
      </x:c>
    </x:row>
    <x:row r="956">
      <x:c r="A956" s="40"/>
      <x:c r="I956" s="42"/>
      <x:c r="J956" s="42" t="str">
        <x:f>IF(OR(H956="",I956=""),"",H956*I956)</x:f>
      </x:c>
      <x:c r="K956" s="40"/>
      <x:c r="L956" t="str">
        <x:f>IF(K956="","",A956-K956)</x:f>
      </x:c>
      <x:c r="M956" t="str">
        <x:f>IF(L956="","",IF(N956="Yes","Strategic Legacy",IF(L956&lt;=90,"Active",IF(L956&lt;=180,"Monitor",IF(L956&lt;=365,"Slow-Moving",IF(L956&lt;=730,"Excess","Obsolete"))))))</x:f>
      </x:c>
    </x:row>
    <x:row r="957">
      <x:c r="A957" s="40"/>
      <x:c r="I957" s="42"/>
      <x:c r="J957" s="42" t="str">
        <x:f>IF(OR(H957="",I957=""),"",H957*I957)</x:f>
      </x:c>
      <x:c r="K957" s="40"/>
      <x:c r="L957" t="str">
        <x:f>IF(K957="","",A957-K957)</x:f>
      </x:c>
      <x:c r="M957" t="str">
        <x:f>IF(L957="","",IF(N957="Yes","Strategic Legacy",IF(L957&lt;=90,"Active",IF(L957&lt;=180,"Monitor",IF(L957&lt;=365,"Slow-Moving",IF(L957&lt;=730,"Excess","Obsolete"))))))</x:f>
      </x:c>
    </x:row>
    <x:row r="958">
      <x:c r="A958" s="40"/>
      <x:c r="I958" s="42"/>
      <x:c r="J958" s="42" t="str">
        <x:f>IF(OR(H958="",I958=""),"",H958*I958)</x:f>
      </x:c>
      <x:c r="K958" s="40"/>
      <x:c r="L958" t="str">
        <x:f>IF(K958="","",A958-K958)</x:f>
      </x:c>
      <x:c r="M958" t="str">
        <x:f>IF(L958="","",IF(N958="Yes","Strategic Legacy",IF(L958&lt;=90,"Active",IF(L958&lt;=180,"Monitor",IF(L958&lt;=365,"Slow-Moving",IF(L958&lt;=730,"Excess","Obsolete"))))))</x:f>
      </x:c>
    </x:row>
    <x:row r="959">
      <x:c r="A959" s="40"/>
      <x:c r="I959" s="42"/>
      <x:c r="J959" s="42" t="str">
        <x:f>IF(OR(H959="",I959=""),"",H959*I959)</x:f>
      </x:c>
      <x:c r="K959" s="40"/>
      <x:c r="L959" t="str">
        <x:f>IF(K959="","",A959-K959)</x:f>
      </x:c>
      <x:c r="M959" t="str">
        <x:f>IF(L959="","",IF(N959="Yes","Strategic Legacy",IF(L959&lt;=90,"Active",IF(L959&lt;=180,"Monitor",IF(L959&lt;=365,"Slow-Moving",IF(L959&lt;=730,"Excess","Obsolete"))))))</x:f>
      </x:c>
    </x:row>
    <x:row r="960">
      <x:c r="A960" s="40"/>
      <x:c r="I960" s="42"/>
      <x:c r="J960" s="42" t="str">
        <x:f>IF(OR(H960="",I960=""),"",H960*I960)</x:f>
      </x:c>
      <x:c r="K960" s="40"/>
      <x:c r="L960" t="str">
        <x:f>IF(K960="","",A960-K960)</x:f>
      </x:c>
      <x:c r="M960" t="str">
        <x:f>IF(L960="","",IF(N960="Yes","Strategic Legacy",IF(L960&lt;=90,"Active",IF(L960&lt;=180,"Monitor",IF(L960&lt;=365,"Slow-Moving",IF(L960&lt;=730,"Excess","Obsolete"))))))</x:f>
      </x:c>
    </x:row>
    <x:row r="961">
      <x:c r="A961" s="40"/>
      <x:c r="I961" s="42"/>
      <x:c r="J961" s="42" t="str">
        <x:f>IF(OR(H961="",I961=""),"",H961*I961)</x:f>
      </x:c>
      <x:c r="K961" s="40"/>
      <x:c r="L961" t="str">
        <x:f>IF(K961="","",A961-K961)</x:f>
      </x:c>
      <x:c r="M961" t="str">
        <x:f>IF(L961="","",IF(N961="Yes","Strategic Legacy",IF(L961&lt;=90,"Active",IF(L961&lt;=180,"Monitor",IF(L961&lt;=365,"Slow-Moving",IF(L961&lt;=730,"Excess","Obsolete"))))))</x:f>
      </x:c>
    </x:row>
    <x:row r="962">
      <x:c r="A962" s="40"/>
      <x:c r="I962" s="42"/>
      <x:c r="J962" s="42" t="str">
        <x:f>IF(OR(H962="",I962=""),"",H962*I962)</x:f>
      </x:c>
      <x:c r="K962" s="40"/>
      <x:c r="L962" t="str">
        <x:f>IF(K962="","",A962-K962)</x:f>
      </x:c>
      <x:c r="M962" t="str">
        <x:f>IF(L962="","",IF(N962="Yes","Strategic Legacy",IF(L962&lt;=90,"Active",IF(L962&lt;=180,"Monitor",IF(L962&lt;=365,"Slow-Moving",IF(L962&lt;=730,"Excess","Obsolete"))))))</x:f>
      </x:c>
    </x:row>
    <x:row r="963">
      <x:c r="A963" s="40"/>
      <x:c r="I963" s="42"/>
      <x:c r="J963" s="42" t="str">
        <x:f>IF(OR(H963="",I963=""),"",H963*I963)</x:f>
      </x:c>
      <x:c r="K963" s="40"/>
      <x:c r="L963" t="str">
        <x:f>IF(K963="","",A963-K963)</x:f>
      </x:c>
      <x:c r="M963" t="str">
        <x:f>IF(L963="","",IF(N963="Yes","Strategic Legacy",IF(L963&lt;=90,"Active",IF(L963&lt;=180,"Monitor",IF(L963&lt;=365,"Slow-Moving",IF(L963&lt;=730,"Excess","Obsolete"))))))</x:f>
      </x:c>
    </x:row>
    <x:row r="964">
      <x:c r="A964" s="40"/>
      <x:c r="I964" s="42"/>
      <x:c r="J964" s="42" t="str">
        <x:f>IF(OR(H964="",I964=""),"",H964*I964)</x:f>
      </x:c>
      <x:c r="K964" s="40"/>
      <x:c r="L964" t="str">
        <x:f>IF(K964="","",A964-K964)</x:f>
      </x:c>
      <x:c r="M964" t="str">
        <x:f>IF(L964="","",IF(N964="Yes","Strategic Legacy",IF(L964&lt;=90,"Active",IF(L964&lt;=180,"Monitor",IF(L964&lt;=365,"Slow-Moving",IF(L964&lt;=730,"Excess","Obsolete"))))))</x:f>
      </x:c>
    </x:row>
    <x:row r="965">
      <x:c r="A965" s="40"/>
      <x:c r="I965" s="42"/>
      <x:c r="J965" s="42" t="str">
        <x:f>IF(OR(H965="",I965=""),"",H965*I965)</x:f>
      </x:c>
      <x:c r="K965" s="40"/>
      <x:c r="L965" t="str">
        <x:f>IF(K965="","",A965-K965)</x:f>
      </x:c>
      <x:c r="M965" t="str">
        <x:f>IF(L965="","",IF(N965="Yes","Strategic Legacy",IF(L965&lt;=90,"Active",IF(L965&lt;=180,"Monitor",IF(L965&lt;=365,"Slow-Moving",IF(L965&lt;=730,"Excess","Obsolete"))))))</x:f>
      </x:c>
    </x:row>
    <x:row r="966">
      <x:c r="A966" s="40"/>
      <x:c r="I966" s="42"/>
      <x:c r="J966" s="42" t="str">
        <x:f>IF(OR(H966="",I966=""),"",H966*I966)</x:f>
      </x:c>
      <x:c r="K966" s="40"/>
      <x:c r="L966" t="str">
        <x:f>IF(K966="","",A966-K966)</x:f>
      </x:c>
      <x:c r="M966" t="str">
        <x:f>IF(L966="","",IF(N966="Yes","Strategic Legacy",IF(L966&lt;=90,"Active",IF(L966&lt;=180,"Monitor",IF(L966&lt;=365,"Slow-Moving",IF(L966&lt;=730,"Excess","Obsolete"))))))</x:f>
      </x:c>
    </x:row>
    <x:row r="967">
      <x:c r="A967" s="40"/>
      <x:c r="I967" s="42"/>
      <x:c r="J967" s="42" t="str">
        <x:f>IF(OR(H967="",I967=""),"",H967*I967)</x:f>
      </x:c>
      <x:c r="K967" s="40"/>
      <x:c r="L967" t="str">
        <x:f>IF(K967="","",A967-K967)</x:f>
      </x:c>
      <x:c r="M967" t="str">
        <x:f>IF(L967="","",IF(N967="Yes","Strategic Legacy",IF(L967&lt;=90,"Active",IF(L967&lt;=180,"Monitor",IF(L967&lt;=365,"Slow-Moving",IF(L967&lt;=730,"Excess","Obsolete"))))))</x:f>
      </x:c>
    </x:row>
    <x:row r="968">
      <x:c r="A968" s="40"/>
      <x:c r="I968" s="42"/>
      <x:c r="J968" s="42" t="str">
        <x:f>IF(OR(H968="",I968=""),"",H968*I968)</x:f>
      </x:c>
      <x:c r="K968" s="40"/>
      <x:c r="L968" t="str">
        <x:f>IF(K968="","",A968-K968)</x:f>
      </x:c>
      <x:c r="M968" t="str">
        <x:f>IF(L968="","",IF(N968="Yes","Strategic Legacy",IF(L968&lt;=90,"Active",IF(L968&lt;=180,"Monitor",IF(L968&lt;=365,"Slow-Moving",IF(L968&lt;=730,"Excess","Obsolete"))))))</x:f>
      </x:c>
    </x:row>
    <x:row r="969">
      <x:c r="A969" s="40"/>
      <x:c r="I969" s="42"/>
      <x:c r="J969" s="42" t="str">
        <x:f>IF(OR(H969="",I969=""),"",H969*I969)</x:f>
      </x:c>
      <x:c r="K969" s="40"/>
      <x:c r="L969" t="str">
        <x:f>IF(K969="","",A969-K969)</x:f>
      </x:c>
      <x:c r="M969" t="str">
        <x:f>IF(L969="","",IF(N969="Yes","Strategic Legacy",IF(L969&lt;=90,"Active",IF(L969&lt;=180,"Monitor",IF(L969&lt;=365,"Slow-Moving",IF(L969&lt;=730,"Excess","Obsolete"))))))</x:f>
      </x:c>
    </x:row>
    <x:row r="970">
      <x:c r="A970" s="40"/>
      <x:c r="I970" s="42"/>
      <x:c r="J970" s="42" t="str">
        <x:f>IF(OR(H970="",I970=""),"",H970*I970)</x:f>
      </x:c>
      <x:c r="K970" s="40"/>
      <x:c r="L970" t="str">
        <x:f>IF(K970="","",A970-K970)</x:f>
      </x:c>
      <x:c r="M970" t="str">
        <x:f>IF(L970="","",IF(N970="Yes","Strategic Legacy",IF(L970&lt;=90,"Active",IF(L970&lt;=180,"Monitor",IF(L970&lt;=365,"Slow-Moving",IF(L970&lt;=730,"Excess","Obsolete"))))))</x:f>
      </x:c>
    </x:row>
    <x:row r="971">
      <x:c r="A971" s="40"/>
      <x:c r="I971" s="42"/>
      <x:c r="J971" s="42" t="str">
        <x:f>IF(OR(H971="",I971=""),"",H971*I971)</x:f>
      </x:c>
      <x:c r="K971" s="40"/>
      <x:c r="L971" t="str">
        <x:f>IF(K971="","",A971-K971)</x:f>
      </x:c>
      <x:c r="M971" t="str">
        <x:f>IF(L971="","",IF(N971="Yes","Strategic Legacy",IF(L971&lt;=90,"Active",IF(L971&lt;=180,"Monitor",IF(L971&lt;=365,"Slow-Moving",IF(L971&lt;=730,"Excess","Obsolete"))))))</x:f>
      </x:c>
    </x:row>
    <x:row r="972">
      <x:c r="A972" s="40"/>
      <x:c r="I972" s="42"/>
      <x:c r="J972" s="42" t="str">
        <x:f>IF(OR(H972="",I972=""),"",H972*I972)</x:f>
      </x:c>
      <x:c r="K972" s="40"/>
      <x:c r="L972" t="str">
        <x:f>IF(K972="","",A972-K972)</x:f>
      </x:c>
      <x:c r="M972" t="str">
        <x:f>IF(L972="","",IF(N972="Yes","Strategic Legacy",IF(L972&lt;=90,"Active",IF(L972&lt;=180,"Monitor",IF(L972&lt;=365,"Slow-Moving",IF(L972&lt;=730,"Excess","Obsolete"))))))</x:f>
      </x:c>
    </x:row>
    <x:row r="973">
      <x:c r="A973" s="40"/>
      <x:c r="I973" s="42"/>
      <x:c r="J973" s="42" t="str">
        <x:f>IF(OR(H973="",I973=""),"",H973*I973)</x:f>
      </x:c>
      <x:c r="K973" s="40"/>
      <x:c r="L973" t="str">
        <x:f>IF(K973="","",A973-K973)</x:f>
      </x:c>
      <x:c r="M973" t="str">
        <x:f>IF(L973="","",IF(N973="Yes","Strategic Legacy",IF(L973&lt;=90,"Active",IF(L973&lt;=180,"Monitor",IF(L973&lt;=365,"Slow-Moving",IF(L973&lt;=730,"Excess","Obsolete"))))))</x:f>
      </x:c>
    </x:row>
    <x:row r="974">
      <x:c r="A974" s="40"/>
      <x:c r="I974" s="42"/>
      <x:c r="J974" s="42" t="str">
        <x:f>IF(OR(H974="",I974=""),"",H974*I974)</x:f>
      </x:c>
      <x:c r="K974" s="40"/>
      <x:c r="L974" t="str">
        <x:f>IF(K974="","",A974-K974)</x:f>
      </x:c>
      <x:c r="M974" t="str">
        <x:f>IF(L974="","",IF(N974="Yes","Strategic Legacy",IF(L974&lt;=90,"Active",IF(L974&lt;=180,"Monitor",IF(L974&lt;=365,"Slow-Moving",IF(L974&lt;=730,"Excess","Obsolete"))))))</x:f>
      </x:c>
    </x:row>
    <x:row r="975">
      <x:c r="A975" s="40"/>
      <x:c r="I975" s="42"/>
      <x:c r="J975" s="42" t="str">
        <x:f>IF(OR(H975="",I975=""),"",H975*I975)</x:f>
      </x:c>
      <x:c r="K975" s="40"/>
      <x:c r="L975" t="str">
        <x:f>IF(K975="","",A975-K975)</x:f>
      </x:c>
      <x:c r="M975" t="str">
        <x:f>IF(L975="","",IF(N975="Yes","Strategic Legacy",IF(L975&lt;=90,"Active",IF(L975&lt;=180,"Monitor",IF(L975&lt;=365,"Slow-Moving",IF(L975&lt;=730,"Excess","Obsolete"))))))</x:f>
      </x:c>
    </x:row>
    <x:row r="976">
      <x:c r="A976" s="40"/>
      <x:c r="I976" s="42"/>
      <x:c r="J976" s="42" t="str">
        <x:f>IF(OR(H976="",I976=""),"",H976*I976)</x:f>
      </x:c>
      <x:c r="K976" s="40"/>
      <x:c r="L976" t="str">
        <x:f>IF(K976="","",A976-K976)</x:f>
      </x:c>
      <x:c r="M976" t="str">
        <x:f>IF(L976="","",IF(N976="Yes","Strategic Legacy",IF(L976&lt;=90,"Active",IF(L976&lt;=180,"Monitor",IF(L976&lt;=365,"Slow-Moving",IF(L976&lt;=730,"Excess","Obsolete"))))))</x:f>
      </x:c>
    </x:row>
    <x:row r="977">
      <x:c r="A977" s="40"/>
      <x:c r="I977" s="42"/>
      <x:c r="J977" s="42" t="str">
        <x:f>IF(OR(H977="",I977=""),"",H977*I977)</x:f>
      </x:c>
      <x:c r="K977" s="40"/>
      <x:c r="L977" t="str">
        <x:f>IF(K977="","",A977-K977)</x:f>
      </x:c>
      <x:c r="M977" t="str">
        <x:f>IF(L977="","",IF(N977="Yes","Strategic Legacy",IF(L977&lt;=90,"Active",IF(L977&lt;=180,"Monitor",IF(L977&lt;=365,"Slow-Moving",IF(L977&lt;=730,"Excess","Obsolete"))))))</x:f>
      </x:c>
    </x:row>
    <x:row r="978">
      <x:c r="A978" s="40"/>
      <x:c r="I978" s="42"/>
      <x:c r="J978" s="42" t="str">
        <x:f>IF(OR(H978="",I978=""),"",H978*I978)</x:f>
      </x:c>
      <x:c r="K978" s="40"/>
      <x:c r="L978" t="str">
        <x:f>IF(K978="","",A978-K978)</x:f>
      </x:c>
      <x:c r="M978" t="str">
        <x:f>IF(L978="","",IF(N978="Yes","Strategic Legacy",IF(L978&lt;=90,"Active",IF(L978&lt;=180,"Monitor",IF(L978&lt;=365,"Slow-Moving",IF(L978&lt;=730,"Excess","Obsolete"))))))</x:f>
      </x:c>
    </x:row>
    <x:row r="979">
      <x:c r="A979" s="40"/>
      <x:c r="I979" s="42"/>
      <x:c r="J979" s="42" t="str">
        <x:f>IF(OR(H979="",I979=""),"",H979*I979)</x:f>
      </x:c>
      <x:c r="K979" s="40"/>
      <x:c r="L979" t="str">
        <x:f>IF(K979="","",A979-K979)</x:f>
      </x:c>
      <x:c r="M979" t="str">
        <x:f>IF(L979="","",IF(N979="Yes","Strategic Legacy",IF(L979&lt;=90,"Active",IF(L979&lt;=180,"Monitor",IF(L979&lt;=365,"Slow-Moving",IF(L979&lt;=730,"Excess","Obsolete"))))))</x:f>
      </x:c>
    </x:row>
    <x:row r="980">
      <x:c r="A980" s="40"/>
      <x:c r="I980" s="42"/>
      <x:c r="J980" s="42" t="str">
        <x:f>IF(OR(H980="",I980=""),"",H980*I980)</x:f>
      </x:c>
      <x:c r="K980" s="40"/>
      <x:c r="L980" t="str">
        <x:f>IF(K980="","",A980-K980)</x:f>
      </x:c>
      <x:c r="M980" t="str">
        <x:f>IF(L980="","",IF(N980="Yes","Strategic Legacy",IF(L980&lt;=90,"Active",IF(L980&lt;=180,"Monitor",IF(L980&lt;=365,"Slow-Moving",IF(L980&lt;=730,"Excess","Obsolete"))))))</x:f>
      </x:c>
    </x:row>
    <x:row r="981">
      <x:c r="A981" s="40"/>
      <x:c r="I981" s="42"/>
      <x:c r="J981" s="42" t="str">
        <x:f>IF(OR(H981="",I981=""),"",H981*I981)</x:f>
      </x:c>
      <x:c r="K981" s="40"/>
      <x:c r="L981" t="str">
        <x:f>IF(K981="","",A981-K981)</x:f>
      </x:c>
      <x:c r="M981" t="str">
        <x:f>IF(L981="","",IF(N981="Yes","Strategic Legacy",IF(L981&lt;=90,"Active",IF(L981&lt;=180,"Monitor",IF(L981&lt;=365,"Slow-Moving",IF(L981&lt;=730,"Excess","Obsolete"))))))</x:f>
      </x:c>
    </x:row>
    <x:row r="982">
      <x:c r="A982" s="40"/>
      <x:c r="I982" s="42"/>
      <x:c r="J982" s="42" t="str">
        <x:f>IF(OR(H982="",I982=""),"",H982*I982)</x:f>
      </x:c>
      <x:c r="K982" s="40"/>
      <x:c r="L982" t="str">
        <x:f>IF(K982="","",A982-K982)</x:f>
      </x:c>
      <x:c r="M982" t="str">
        <x:f>IF(L982="","",IF(N982="Yes","Strategic Legacy",IF(L982&lt;=90,"Active",IF(L982&lt;=180,"Monitor",IF(L982&lt;=365,"Slow-Moving",IF(L982&lt;=730,"Excess","Obsolete"))))))</x:f>
      </x:c>
    </x:row>
    <x:row r="983">
      <x:c r="A983" s="40"/>
      <x:c r="I983" s="42"/>
      <x:c r="J983" s="42" t="str">
        <x:f>IF(OR(H983="",I983=""),"",H983*I983)</x:f>
      </x:c>
      <x:c r="K983" s="40"/>
      <x:c r="L983" t="str">
        <x:f>IF(K983="","",A983-K983)</x:f>
      </x:c>
      <x:c r="M983" t="str">
        <x:f>IF(L983="","",IF(N983="Yes","Strategic Legacy",IF(L983&lt;=90,"Active",IF(L983&lt;=180,"Monitor",IF(L983&lt;=365,"Slow-Moving",IF(L983&lt;=730,"Excess","Obsolete"))))))</x:f>
      </x:c>
    </x:row>
    <x:row r="984">
      <x:c r="A984" s="40"/>
      <x:c r="I984" s="42"/>
      <x:c r="J984" s="42" t="str">
        <x:f>IF(OR(H984="",I984=""),"",H984*I984)</x:f>
      </x:c>
      <x:c r="K984" s="40"/>
      <x:c r="L984" t="str">
        <x:f>IF(K984="","",A984-K984)</x:f>
      </x:c>
      <x:c r="M984" t="str">
        <x:f>IF(L984="","",IF(N984="Yes","Strategic Legacy",IF(L984&lt;=90,"Active",IF(L984&lt;=180,"Monitor",IF(L984&lt;=365,"Slow-Moving",IF(L984&lt;=730,"Excess","Obsolete"))))))</x:f>
      </x:c>
    </x:row>
    <x:row r="985">
      <x:c r="A985" s="40"/>
      <x:c r="I985" s="42"/>
      <x:c r="J985" s="42" t="str">
        <x:f>IF(OR(H985="",I985=""),"",H985*I985)</x:f>
      </x:c>
      <x:c r="K985" s="40"/>
      <x:c r="L985" t="str">
        <x:f>IF(K985="","",A985-K985)</x:f>
      </x:c>
      <x:c r="M985" t="str">
        <x:f>IF(L985="","",IF(N985="Yes","Strategic Legacy",IF(L985&lt;=90,"Active",IF(L985&lt;=180,"Monitor",IF(L985&lt;=365,"Slow-Moving",IF(L985&lt;=730,"Excess","Obsolete"))))))</x:f>
      </x:c>
    </x:row>
    <x:row r="986">
      <x:c r="A986" s="40"/>
      <x:c r="I986" s="42"/>
      <x:c r="J986" s="42" t="str">
        <x:f>IF(OR(H986="",I986=""),"",H986*I986)</x:f>
      </x:c>
      <x:c r="K986" s="40"/>
      <x:c r="L986" t="str">
        <x:f>IF(K986="","",A986-K986)</x:f>
      </x:c>
      <x:c r="M986" t="str">
        <x:f>IF(L986="","",IF(N986="Yes","Strategic Legacy",IF(L986&lt;=90,"Active",IF(L986&lt;=180,"Monitor",IF(L986&lt;=365,"Slow-Moving",IF(L986&lt;=730,"Excess","Obsolete"))))))</x:f>
      </x:c>
    </x:row>
    <x:row r="987">
      <x:c r="A987" s="40"/>
      <x:c r="I987" s="42"/>
      <x:c r="J987" s="42" t="str">
        <x:f>IF(OR(H987="",I987=""),"",H987*I987)</x:f>
      </x:c>
      <x:c r="K987" s="40"/>
      <x:c r="L987" t="str">
        <x:f>IF(K987="","",A987-K987)</x:f>
      </x:c>
      <x:c r="M987" t="str">
        <x:f>IF(L987="","",IF(N987="Yes","Strategic Legacy",IF(L987&lt;=90,"Active",IF(L987&lt;=180,"Monitor",IF(L987&lt;=365,"Slow-Moving",IF(L987&lt;=730,"Excess","Obsolete"))))))</x:f>
      </x:c>
    </x:row>
    <x:row r="988">
      <x:c r="A988" s="40"/>
      <x:c r="I988" s="42"/>
      <x:c r="J988" s="42" t="str">
        <x:f>IF(OR(H988="",I988=""),"",H988*I988)</x:f>
      </x:c>
      <x:c r="K988" s="40"/>
      <x:c r="L988" t="str">
        <x:f>IF(K988="","",A988-K988)</x:f>
      </x:c>
      <x:c r="M988" t="str">
        <x:f>IF(L988="","",IF(N988="Yes","Strategic Legacy",IF(L988&lt;=90,"Active",IF(L988&lt;=180,"Monitor",IF(L988&lt;=365,"Slow-Moving",IF(L988&lt;=730,"Excess","Obsolete"))))))</x:f>
      </x:c>
    </x:row>
    <x:row r="989">
      <x:c r="A989" s="40"/>
      <x:c r="I989" s="42"/>
      <x:c r="J989" s="42" t="str">
        <x:f>IF(OR(H989="",I989=""),"",H989*I989)</x:f>
      </x:c>
      <x:c r="K989" s="40"/>
      <x:c r="L989" t="str">
        <x:f>IF(K989="","",A989-K989)</x:f>
      </x:c>
      <x:c r="M989" t="str">
        <x:f>IF(L989="","",IF(N989="Yes","Strategic Legacy",IF(L989&lt;=90,"Active",IF(L989&lt;=180,"Monitor",IF(L989&lt;=365,"Slow-Moving",IF(L989&lt;=730,"Excess","Obsolete"))))))</x:f>
      </x:c>
    </x:row>
    <x:row r="990">
      <x:c r="A990" s="40"/>
      <x:c r="I990" s="42"/>
      <x:c r="J990" s="42" t="str">
        <x:f>IF(OR(H990="",I990=""),"",H990*I990)</x:f>
      </x:c>
      <x:c r="K990" s="40"/>
      <x:c r="L990" t="str">
        <x:f>IF(K990="","",A990-K990)</x:f>
      </x:c>
      <x:c r="M990" t="str">
        <x:f>IF(L990="","",IF(N990="Yes","Strategic Legacy",IF(L990&lt;=90,"Active",IF(L990&lt;=180,"Monitor",IF(L990&lt;=365,"Slow-Moving",IF(L990&lt;=730,"Excess","Obsolete"))))))</x:f>
      </x:c>
    </x:row>
    <x:row r="991">
      <x:c r="A991" s="40"/>
      <x:c r="I991" s="42"/>
      <x:c r="J991" s="42" t="str">
        <x:f>IF(OR(H991="",I991=""),"",H991*I991)</x:f>
      </x:c>
      <x:c r="K991" s="40"/>
      <x:c r="L991" t="str">
        <x:f>IF(K991="","",A991-K991)</x:f>
      </x:c>
      <x:c r="M991" t="str">
        <x:f>IF(L991="","",IF(N991="Yes","Strategic Legacy",IF(L991&lt;=90,"Active",IF(L991&lt;=180,"Monitor",IF(L991&lt;=365,"Slow-Moving",IF(L991&lt;=730,"Excess","Obsolete"))))))</x:f>
      </x:c>
    </x:row>
    <x:row r="992">
      <x:c r="A992" s="40"/>
      <x:c r="I992" s="42"/>
      <x:c r="J992" s="42" t="str">
        <x:f>IF(OR(H992="",I992=""),"",H992*I992)</x:f>
      </x:c>
      <x:c r="K992" s="40"/>
      <x:c r="L992" t="str">
        <x:f>IF(K992="","",A992-K992)</x:f>
      </x:c>
      <x:c r="M992" t="str">
        <x:f>IF(L992="","",IF(N992="Yes","Strategic Legacy",IF(L992&lt;=90,"Active",IF(L992&lt;=180,"Monitor",IF(L992&lt;=365,"Slow-Moving",IF(L992&lt;=730,"Excess","Obsolete"))))))</x:f>
      </x:c>
    </x:row>
    <x:row r="993">
      <x:c r="A993" s="40"/>
      <x:c r="I993" s="42"/>
      <x:c r="J993" s="42" t="str">
        <x:f>IF(OR(H993="",I993=""),"",H993*I993)</x:f>
      </x:c>
      <x:c r="K993" s="40"/>
      <x:c r="L993" t="str">
        <x:f>IF(K993="","",A993-K993)</x:f>
      </x:c>
      <x:c r="M993" t="str">
        <x:f>IF(L993="","",IF(N993="Yes","Strategic Legacy",IF(L993&lt;=90,"Active",IF(L993&lt;=180,"Monitor",IF(L993&lt;=365,"Slow-Moving",IF(L993&lt;=730,"Excess","Obsolete"))))))</x:f>
      </x:c>
    </x:row>
    <x:row r="994">
      <x:c r="A994" s="40"/>
      <x:c r="I994" s="42"/>
      <x:c r="J994" s="42" t="str">
        <x:f>IF(OR(H994="",I994=""),"",H994*I994)</x:f>
      </x:c>
      <x:c r="K994" s="40"/>
      <x:c r="L994" t="str">
        <x:f>IF(K994="","",A994-K994)</x:f>
      </x:c>
      <x:c r="M994" t="str">
        <x:f>IF(L994="","",IF(N994="Yes","Strategic Legacy",IF(L994&lt;=90,"Active",IF(L994&lt;=180,"Monitor",IF(L994&lt;=365,"Slow-Moving",IF(L994&lt;=730,"Excess","Obsolete"))))))</x:f>
      </x:c>
    </x:row>
    <x:row r="995">
      <x:c r="A995" s="40"/>
      <x:c r="I995" s="42"/>
      <x:c r="J995" s="42" t="str">
        <x:f>IF(OR(H995="",I995=""),"",H995*I995)</x:f>
      </x:c>
      <x:c r="K995" s="40"/>
      <x:c r="L995" t="str">
        <x:f>IF(K995="","",A995-K995)</x:f>
      </x:c>
      <x:c r="M995" t="str">
        <x:f>IF(L995="","",IF(N995="Yes","Strategic Legacy",IF(L995&lt;=90,"Active",IF(L995&lt;=180,"Monitor",IF(L995&lt;=365,"Slow-Moving",IF(L995&lt;=730,"Excess","Obsolete"))))))</x:f>
      </x:c>
    </x:row>
    <x:row r="996">
      <x:c r="A996" s="40"/>
      <x:c r="I996" s="42"/>
      <x:c r="J996" s="42" t="str">
        <x:f>IF(OR(H996="",I996=""),"",H996*I996)</x:f>
      </x:c>
      <x:c r="K996" s="40"/>
      <x:c r="L996" t="str">
        <x:f>IF(K996="","",A996-K996)</x:f>
      </x:c>
      <x:c r="M996" t="str">
        <x:f>IF(L996="","",IF(N996="Yes","Strategic Legacy",IF(L996&lt;=90,"Active",IF(L996&lt;=180,"Monitor",IF(L996&lt;=365,"Slow-Moving",IF(L996&lt;=730,"Excess","Obsolete"))))))</x:f>
      </x:c>
    </x:row>
    <x:row r="997">
      <x:c r="A997" s="40"/>
      <x:c r="I997" s="42"/>
      <x:c r="J997" s="42" t="str">
        <x:f>IF(OR(H997="",I997=""),"",H997*I997)</x:f>
      </x:c>
      <x:c r="K997" s="40"/>
      <x:c r="L997" t="str">
        <x:f>IF(K997="","",A997-K997)</x:f>
      </x:c>
      <x:c r="M997" t="str">
        <x:f>IF(L997="","",IF(N997="Yes","Strategic Legacy",IF(L997&lt;=90,"Active",IF(L997&lt;=180,"Monitor",IF(L997&lt;=365,"Slow-Moving",IF(L997&lt;=730,"Excess","Obsolete"))))))</x:f>
      </x:c>
    </x:row>
    <x:row r="998">
      <x:c r="A998" s="40"/>
      <x:c r="I998" s="42"/>
      <x:c r="J998" s="42" t="str">
        <x:f>IF(OR(H998="",I998=""),"",H998*I998)</x:f>
      </x:c>
      <x:c r="K998" s="40"/>
      <x:c r="L998" t="str">
        <x:f>IF(K998="","",A998-K998)</x:f>
      </x:c>
      <x:c r="M998" t="str">
        <x:f>IF(L998="","",IF(N998="Yes","Strategic Legacy",IF(L998&lt;=90,"Active",IF(L998&lt;=180,"Monitor",IF(L998&lt;=365,"Slow-Moving",IF(L998&lt;=730,"Excess","Obsolete"))))))</x:f>
      </x:c>
    </x:row>
    <x:row r="999">
      <x:c r="A999" s="40"/>
      <x:c r="I999" s="42"/>
      <x:c r="J999" s="42" t="str">
        <x:f>IF(OR(H999="",I999=""),"",H999*I999)</x:f>
      </x:c>
      <x:c r="K999" s="40"/>
      <x:c r="L999" t="str">
        <x:f>IF(K999="","",A999-K999)</x:f>
      </x:c>
      <x:c r="M999" t="str">
        <x:f>IF(L999="","",IF(N999="Yes","Strategic Legacy",IF(L999&lt;=90,"Active",IF(L999&lt;=180,"Monitor",IF(L999&lt;=365,"Slow-Moving",IF(L999&lt;=730,"Excess","Obsolete"))))))</x:f>
      </x:c>
    </x:row>
    <x:row r="1000">
      <x:c r="A1000" s="40"/>
      <x:c r="I1000" s="42"/>
      <x:c r="J1000" s="42" t="str">
        <x:f>IF(OR(H1000="",I1000=""),"",H1000*I1000)</x:f>
      </x:c>
      <x:c r="K1000" s="40"/>
      <x:c r="L1000" t="str">
        <x:f>IF(K1000="","",A1000-K1000)</x:f>
      </x:c>
      <x:c r="M1000" t="str">
        <x:f>IF(L1000="","",IF(N1000="Yes","Strategic Legacy",IF(L1000&lt;=90,"Active",IF(L1000&lt;=180,"Monitor",IF(L1000&lt;=365,"Slow-Moving",IF(L1000&lt;=730,"Excess","Obsolete"))))))</x:f>
      </x:c>
    </x:row>
  </x:sheetData>
  <x:mergeCells>
    <x:mergeCell ref="A1:Q1"/>
  </x:mergeCells>
  <x:conditionalFormatting sqref="J4:J1000">
    <x:cfRule type="dataBar" priority="1">
      <x:dataBar>
        <x:cfvo type="min"/>
        <x:cfvo type="max"/>
        <x:color rgb="FF5B8DB8"/>
      </x:dataBar>
      <x:extLst>
        <x:ext xmlns:x14="http://schemas.microsoft.com/office/spreadsheetml/2009/9/main" uri="{B025F937-C7B1-47D3-B67F-A62EFF666E3E}">
          <x14:id>{66AC3D3D-9601-D396-3782-283EADF8E084}</x14:id>
        </x:ext>
      </x:extLst>
    </x:cfRule>
  </x:conditionalFormatting>
  <x:dataValidations count="2">
    <x:dataValidation type="list" sqref="N4:N1000">
      <x:formula1>"Yes,No"</x:formula1>
    </x:dataValidation>
    <x:dataValidation type="list" sqref="Q4:Q1000">
      <x:formula1>"Use on Existing Jobs,Transfer Between Companies,Return to Supplier,Sell Online,Bundle,Refurbish,Harvest for Parts,Discount/Liquidate,Recycle,Retain Strategically,Review"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AC3D3D-9601-D396-3782-283EADF8E084}">
            <x14:dataBar gradient="1">
              <x14:cfvo type="min"/>
              <x14:cfvo type="max"/>
              <x14:fillColor rgb="FF5B8DB8"/>
            </x14:dataBar>
          </x14:cfRule>
          <xm:sqref>J4:J1000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42" hidden="0" customWidth="1"/>
    <x:col min="5" max="5" width="18" hidden="0" customWidth="1"/>
    <x:col min="6" max="6" width="20" hidden="0" customWidth="1"/>
    <x:col min="7" max="7" width="18" hidden="0" customWidth="1"/>
    <x:col min="8" max="8" width="20" hidden="0" customWidth="1"/>
    <x:col min="9" max="9" width="18" hidden="0" customWidth="1"/>
    <x:col min="10" max="10" width="16" hidden="0" customWidth="1"/>
    <x:col min="11" max="11" width="14" hidden="0" customWidth="1"/>
    <x:col min="12" max="12" width="18" hidden="0" customWidth="1"/>
    <x:col min="13" max="13" width="20" hidden="0" customWidth="1"/>
    <x:col min="14" max="14" width="14" hidden="0" customWidth="1"/>
    <x:col min="15" max="15" width="34" hidden="0" customWidth="1"/>
    <x:col min="16" max="16" width="36" hidden="0" customWidth="1"/>
  </x:cols>
  <x:sheetData>
    <x:row r="1">
      <x:c r="A1" s="5" t="str">
        <x:v>Savings &amp; Improvement Pipeline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34" t="str">
        <x:v>Opportunity ID</x:v>
      </x:c>
      <x:c r="B3" s="34" t="str">
        <x:v>Company / Enterprise</x:v>
      </x:c>
      <x:c r="C3" s="34" t="str">
        <x:v>Category</x:v>
      </x:c>
      <x:c r="D3" s="34" t="str">
        <x:v>Opportunity Description</x:v>
      </x:c>
      <x:c r="E3" s="34" t="str">
        <x:v>Current Annual Cost</x:v>
      </x:c>
      <x:c r="F3" s="34" t="str">
        <x:v>Expected Annual Savings</x:v>
      </x:c>
      <x:c r="G3" s="34" t="str">
        <x:v>Implementation Cost</x:v>
      </x:c>
      <x:c r="H3" s="34" t="str">
        <x:v>Net First-Year Benefit</x:v>
      </x:c>
      <x:c r="I3" s="34" t="str">
        <x:v>Owner</x:v>
      </x:c>
      <x:c r="J3" s="34" t="str">
        <x:v>Status</x:v>
      </x:c>
      <x:c r="K3" s="34" t="str">
        <x:v>Target Date</x:v>
      </x:c>
      <x:c r="L3" s="34" t="str">
        <x:v>Realized Savings</x:v>
      </x:c>
      <x:c r="M3" s="34" t="str">
        <x:v>Accounting Validated?</x:v>
      </x:c>
      <x:c r="N3" s="34" t="str">
        <x:v>Risk</x:v>
      </x:c>
      <x:c r="O3" s="34" t="str">
        <x:v>Next Step</x:v>
      </x:c>
      <x:c r="P3" s="34" t="str">
        <x:v>Notes</x:v>
      </x:c>
    </x:row>
    <x:row r="4">
      <x:c r="E4" s="42"/>
      <x:c r="F4" s="42"/>
      <x:c r="G4" s="42"/>
      <x:c r="H4" s="42" t="str">
        <x:f>IF(OR(F4="",G4=""),"",F4-G4)</x:f>
      </x:c>
      <x:c r="K4" s="40"/>
      <x:c r="L4" s="42"/>
    </x:row>
    <x:row r="5">
      <x:c r="E5" s="42"/>
      <x:c r="F5" s="42"/>
      <x:c r="G5" s="42"/>
      <x:c r="H5" s="42" t="str">
        <x:f>IF(OR(F5="",G5=""),"",F5-G5)</x:f>
      </x:c>
      <x:c r="K5" s="40"/>
      <x:c r="L5" s="42"/>
    </x:row>
    <x:row r="6">
      <x:c r="E6" s="42"/>
      <x:c r="F6" s="42"/>
      <x:c r="G6" s="42"/>
      <x:c r="H6" s="42" t="str">
        <x:f>IF(OR(F6="",G6=""),"",F6-G6)</x:f>
      </x:c>
      <x:c r="K6" s="40"/>
      <x:c r="L6" s="42"/>
    </x:row>
    <x:row r="7">
      <x:c r="E7" s="42"/>
      <x:c r="F7" s="42"/>
      <x:c r="G7" s="42"/>
      <x:c r="H7" s="42" t="str">
        <x:f>IF(OR(F7="",G7=""),"",F7-G7)</x:f>
      </x:c>
      <x:c r="K7" s="40"/>
      <x:c r="L7" s="42"/>
    </x:row>
    <x:row r="8">
      <x:c r="E8" s="42"/>
      <x:c r="F8" s="42"/>
      <x:c r="G8" s="42"/>
      <x:c r="H8" s="42" t="str">
        <x:f>IF(OR(F8="",G8=""),"",F8-G8)</x:f>
      </x:c>
      <x:c r="K8" s="40"/>
      <x:c r="L8" s="42"/>
    </x:row>
    <x:row r="9">
      <x:c r="E9" s="42"/>
      <x:c r="F9" s="42"/>
      <x:c r="G9" s="42"/>
      <x:c r="H9" s="42" t="str">
        <x:f>IF(OR(F9="",G9=""),"",F9-G9)</x:f>
      </x:c>
      <x:c r="K9" s="40"/>
      <x:c r="L9" s="42"/>
    </x:row>
    <x:row r="10">
      <x:c r="E10" s="42"/>
      <x:c r="F10" s="42"/>
      <x:c r="G10" s="42"/>
      <x:c r="H10" s="42" t="str">
        <x:f>IF(OR(F10="",G10=""),"",F10-G10)</x:f>
      </x:c>
      <x:c r="K10" s="40"/>
      <x:c r="L10" s="42"/>
    </x:row>
    <x:row r="11">
      <x:c r="E11" s="42"/>
      <x:c r="F11" s="42"/>
      <x:c r="G11" s="42"/>
      <x:c r="H11" s="42" t="str">
        <x:f>IF(OR(F11="",G11=""),"",F11-G11)</x:f>
      </x:c>
      <x:c r="K11" s="40"/>
      <x:c r="L11" s="42"/>
    </x:row>
    <x:row r="12">
      <x:c r="E12" s="42"/>
      <x:c r="F12" s="42"/>
      <x:c r="G12" s="42"/>
      <x:c r="H12" s="42" t="str">
        <x:f>IF(OR(F12="",G12=""),"",F12-G12)</x:f>
      </x:c>
      <x:c r="K12" s="40"/>
      <x:c r="L12" s="42"/>
    </x:row>
    <x:row r="13">
      <x:c r="E13" s="42"/>
      <x:c r="F13" s="42"/>
      <x:c r="G13" s="42"/>
      <x:c r="H13" s="42" t="str">
        <x:f>IF(OR(F13="",G13=""),"",F13-G13)</x:f>
      </x:c>
      <x:c r="K13" s="40"/>
      <x:c r="L13" s="42"/>
    </x:row>
    <x:row r="14">
      <x:c r="E14" s="42"/>
      <x:c r="F14" s="42"/>
      <x:c r="G14" s="42"/>
      <x:c r="H14" s="42" t="str">
        <x:f>IF(OR(F14="",G14=""),"",F14-G14)</x:f>
      </x:c>
      <x:c r="K14" s="40"/>
      <x:c r="L14" s="42"/>
    </x:row>
    <x:row r="15">
      <x:c r="E15" s="42"/>
      <x:c r="F15" s="42"/>
      <x:c r="G15" s="42"/>
      <x:c r="H15" s="42" t="str">
        <x:f>IF(OR(F15="",G15=""),"",F15-G15)</x:f>
      </x:c>
      <x:c r="K15" s="40"/>
      <x:c r="L15" s="42"/>
    </x:row>
    <x:row r="16">
      <x:c r="E16" s="42"/>
      <x:c r="F16" s="42"/>
      <x:c r="G16" s="42"/>
      <x:c r="H16" s="42" t="str">
        <x:f>IF(OR(F16="",G16=""),"",F16-G16)</x:f>
      </x:c>
      <x:c r="K16" s="40"/>
      <x:c r="L16" s="42"/>
    </x:row>
    <x:row r="17">
      <x:c r="E17" s="42"/>
      <x:c r="F17" s="42"/>
      <x:c r="G17" s="42"/>
      <x:c r="H17" s="42" t="str">
        <x:f>IF(OR(F17="",G17=""),"",F17-G17)</x:f>
      </x:c>
      <x:c r="K17" s="40"/>
      <x:c r="L17" s="42"/>
    </x:row>
    <x:row r="18">
      <x:c r="E18" s="42"/>
      <x:c r="F18" s="42"/>
      <x:c r="G18" s="42"/>
      <x:c r="H18" s="42" t="str">
        <x:f>IF(OR(F18="",G18=""),"",F18-G18)</x:f>
      </x:c>
      <x:c r="K18" s="40"/>
      <x:c r="L18" s="42"/>
    </x:row>
    <x:row r="19">
      <x:c r="E19" s="42"/>
      <x:c r="F19" s="42"/>
      <x:c r="G19" s="42"/>
      <x:c r="H19" s="42" t="str">
        <x:f>IF(OR(F19="",G19=""),"",F19-G19)</x:f>
      </x:c>
      <x:c r="K19" s="40"/>
      <x:c r="L19" s="42"/>
    </x:row>
    <x:row r="20">
      <x:c r="E20" s="42"/>
      <x:c r="F20" s="42"/>
      <x:c r="G20" s="42"/>
      <x:c r="H20" s="42" t="str">
        <x:f>IF(OR(F20="",G20=""),"",F20-G20)</x:f>
      </x:c>
      <x:c r="K20" s="40"/>
      <x:c r="L20" s="42"/>
    </x:row>
    <x:row r="21">
      <x:c r="E21" s="42"/>
      <x:c r="F21" s="42"/>
      <x:c r="G21" s="42"/>
      <x:c r="H21" s="42" t="str">
        <x:f>IF(OR(F21="",G21=""),"",F21-G21)</x:f>
      </x:c>
      <x:c r="K21" s="40"/>
      <x:c r="L21" s="42"/>
    </x:row>
    <x:row r="22">
      <x:c r="E22" s="42"/>
      <x:c r="F22" s="42"/>
      <x:c r="G22" s="42"/>
      <x:c r="H22" s="42" t="str">
        <x:f>IF(OR(F22="",G22=""),"",F22-G22)</x:f>
      </x:c>
      <x:c r="K22" s="40"/>
      <x:c r="L22" s="42"/>
    </x:row>
    <x:row r="23">
      <x:c r="E23" s="42"/>
      <x:c r="F23" s="42"/>
      <x:c r="G23" s="42"/>
      <x:c r="H23" s="42" t="str">
        <x:f>IF(OR(F23="",G23=""),"",F23-G23)</x:f>
      </x:c>
      <x:c r="K23" s="40"/>
      <x:c r="L23" s="42"/>
    </x:row>
    <x:row r="24">
      <x:c r="E24" s="42"/>
      <x:c r="F24" s="42"/>
      <x:c r="G24" s="42"/>
      <x:c r="H24" s="42" t="str">
        <x:f>IF(OR(F24="",G24=""),"",F24-G24)</x:f>
      </x:c>
      <x:c r="K24" s="40"/>
      <x:c r="L24" s="42"/>
    </x:row>
    <x:row r="25">
      <x:c r="E25" s="42"/>
      <x:c r="F25" s="42"/>
      <x:c r="G25" s="42"/>
      <x:c r="H25" s="42" t="str">
        <x:f>IF(OR(F25="",G25=""),"",F25-G25)</x:f>
      </x:c>
      <x:c r="K25" s="40"/>
      <x:c r="L25" s="42"/>
    </x:row>
    <x:row r="26">
      <x:c r="E26" s="42"/>
      <x:c r="F26" s="42"/>
      <x:c r="G26" s="42"/>
      <x:c r="H26" s="42" t="str">
        <x:f>IF(OR(F26="",G26=""),"",F26-G26)</x:f>
      </x:c>
      <x:c r="K26" s="40"/>
      <x:c r="L26" s="42"/>
    </x:row>
    <x:row r="27">
      <x:c r="E27" s="42"/>
      <x:c r="F27" s="42"/>
      <x:c r="G27" s="42"/>
      <x:c r="H27" s="42" t="str">
        <x:f>IF(OR(F27="",G27=""),"",F27-G27)</x:f>
      </x:c>
      <x:c r="K27" s="40"/>
      <x:c r="L27" s="42"/>
    </x:row>
    <x:row r="28">
      <x:c r="E28" s="42"/>
      <x:c r="F28" s="42"/>
      <x:c r="G28" s="42"/>
      <x:c r="H28" s="42" t="str">
        <x:f>IF(OR(F28="",G28=""),"",F28-G28)</x:f>
      </x:c>
      <x:c r="K28" s="40"/>
      <x:c r="L28" s="42"/>
    </x:row>
    <x:row r="29">
      <x:c r="E29" s="42"/>
      <x:c r="F29" s="42"/>
      <x:c r="G29" s="42"/>
      <x:c r="H29" s="42" t="str">
        <x:f>IF(OR(F29="",G29=""),"",F29-G29)</x:f>
      </x:c>
      <x:c r="K29" s="40"/>
      <x:c r="L29" s="42"/>
    </x:row>
    <x:row r="30">
      <x:c r="E30" s="42"/>
      <x:c r="F30" s="42"/>
      <x:c r="G30" s="42"/>
      <x:c r="H30" s="42" t="str">
        <x:f>IF(OR(F30="",G30=""),"",F30-G30)</x:f>
      </x:c>
      <x:c r="K30" s="40"/>
      <x:c r="L30" s="42"/>
    </x:row>
    <x:row r="31">
      <x:c r="E31" s="42"/>
      <x:c r="F31" s="42"/>
      <x:c r="G31" s="42"/>
      <x:c r="H31" s="42" t="str">
        <x:f>IF(OR(F31="",G31=""),"",F31-G31)</x:f>
      </x:c>
      <x:c r="K31" s="40"/>
      <x:c r="L31" s="42"/>
    </x:row>
    <x:row r="32">
      <x:c r="E32" s="42"/>
      <x:c r="F32" s="42"/>
      <x:c r="G32" s="42"/>
      <x:c r="H32" s="42" t="str">
        <x:f>IF(OR(F32="",G32=""),"",F32-G32)</x:f>
      </x:c>
      <x:c r="K32" s="40"/>
      <x:c r="L32" s="42"/>
    </x:row>
    <x:row r="33">
      <x:c r="E33" s="42"/>
      <x:c r="F33" s="42"/>
      <x:c r="G33" s="42"/>
      <x:c r="H33" s="42" t="str">
        <x:f>IF(OR(F33="",G33=""),"",F33-G33)</x:f>
      </x:c>
      <x:c r="K33" s="40"/>
      <x:c r="L33" s="42"/>
    </x:row>
    <x:row r="34">
      <x:c r="E34" s="42"/>
      <x:c r="F34" s="42"/>
      <x:c r="G34" s="42"/>
      <x:c r="H34" s="42" t="str">
        <x:f>IF(OR(F34="",G34=""),"",F34-G34)</x:f>
      </x:c>
      <x:c r="K34" s="40"/>
      <x:c r="L34" s="42"/>
    </x:row>
    <x:row r="35">
      <x:c r="E35" s="42"/>
      <x:c r="F35" s="42"/>
      <x:c r="G35" s="42"/>
      <x:c r="H35" s="42" t="str">
        <x:f>IF(OR(F35="",G35=""),"",F35-G35)</x:f>
      </x:c>
      <x:c r="K35" s="40"/>
      <x:c r="L35" s="42"/>
    </x:row>
    <x:row r="36">
      <x:c r="E36" s="42"/>
      <x:c r="F36" s="42"/>
      <x:c r="G36" s="42"/>
      <x:c r="H36" s="42" t="str">
        <x:f>IF(OR(F36="",G36=""),"",F36-G36)</x:f>
      </x:c>
      <x:c r="K36" s="40"/>
      <x:c r="L36" s="42"/>
    </x:row>
    <x:row r="37">
      <x:c r="E37" s="42"/>
      <x:c r="F37" s="42"/>
      <x:c r="G37" s="42"/>
      <x:c r="H37" s="42" t="str">
        <x:f>IF(OR(F37="",G37=""),"",F37-G37)</x:f>
      </x:c>
      <x:c r="K37" s="40"/>
      <x:c r="L37" s="42"/>
    </x:row>
    <x:row r="38">
      <x:c r="E38" s="42"/>
      <x:c r="F38" s="42"/>
      <x:c r="G38" s="42"/>
      <x:c r="H38" s="42" t="str">
        <x:f>IF(OR(F38="",G38=""),"",F38-G38)</x:f>
      </x:c>
      <x:c r="K38" s="40"/>
      <x:c r="L38" s="42"/>
    </x:row>
    <x:row r="39">
      <x:c r="E39" s="42"/>
      <x:c r="F39" s="42"/>
      <x:c r="G39" s="42"/>
      <x:c r="H39" s="42" t="str">
        <x:f>IF(OR(F39="",G39=""),"",F39-G39)</x:f>
      </x:c>
      <x:c r="K39" s="40"/>
      <x:c r="L39" s="42"/>
    </x:row>
    <x:row r="40">
      <x:c r="E40" s="42"/>
      <x:c r="F40" s="42"/>
      <x:c r="G40" s="42"/>
      <x:c r="H40" s="42" t="str">
        <x:f>IF(OR(F40="",G40=""),"",F40-G40)</x:f>
      </x:c>
      <x:c r="K40" s="40"/>
      <x:c r="L40" s="42"/>
    </x:row>
    <x:row r="41">
      <x:c r="E41" s="42"/>
      <x:c r="F41" s="42"/>
      <x:c r="G41" s="42"/>
      <x:c r="H41" s="42" t="str">
        <x:f>IF(OR(F41="",G41=""),"",F41-G41)</x:f>
      </x:c>
      <x:c r="K41" s="40"/>
      <x:c r="L41" s="42"/>
    </x:row>
    <x:row r="42">
      <x:c r="E42" s="42"/>
      <x:c r="F42" s="42"/>
      <x:c r="G42" s="42"/>
      <x:c r="H42" s="42" t="str">
        <x:f>IF(OR(F42="",G42=""),"",F42-G42)</x:f>
      </x:c>
      <x:c r="K42" s="40"/>
      <x:c r="L42" s="42"/>
    </x:row>
    <x:row r="43">
      <x:c r="E43" s="42"/>
      <x:c r="F43" s="42"/>
      <x:c r="G43" s="42"/>
      <x:c r="H43" s="42" t="str">
        <x:f>IF(OR(F43="",G43=""),"",F43-G43)</x:f>
      </x:c>
      <x:c r="K43" s="40"/>
      <x:c r="L43" s="42"/>
    </x:row>
    <x:row r="44">
      <x:c r="E44" s="42"/>
      <x:c r="F44" s="42"/>
      <x:c r="G44" s="42"/>
      <x:c r="H44" s="42" t="str">
        <x:f>IF(OR(F44="",G44=""),"",F44-G44)</x:f>
      </x:c>
      <x:c r="K44" s="40"/>
      <x:c r="L44" s="42"/>
    </x:row>
    <x:row r="45">
      <x:c r="E45" s="42"/>
      <x:c r="F45" s="42"/>
      <x:c r="G45" s="42"/>
      <x:c r="H45" s="42" t="str">
        <x:f>IF(OR(F45="",G45=""),"",F45-G45)</x:f>
      </x:c>
      <x:c r="K45" s="40"/>
      <x:c r="L45" s="42"/>
    </x:row>
    <x:row r="46">
      <x:c r="E46" s="42"/>
      <x:c r="F46" s="42"/>
      <x:c r="G46" s="42"/>
      <x:c r="H46" s="42" t="str">
        <x:f>IF(OR(F46="",G46=""),"",F46-G46)</x:f>
      </x:c>
      <x:c r="K46" s="40"/>
      <x:c r="L46" s="42"/>
    </x:row>
    <x:row r="47">
      <x:c r="E47" s="42"/>
      <x:c r="F47" s="42"/>
      <x:c r="G47" s="42"/>
      <x:c r="H47" s="42" t="str">
        <x:f>IF(OR(F47="",G47=""),"",F47-G47)</x:f>
      </x:c>
      <x:c r="K47" s="40"/>
      <x:c r="L47" s="42"/>
    </x:row>
    <x:row r="48">
      <x:c r="E48" s="42"/>
      <x:c r="F48" s="42"/>
      <x:c r="G48" s="42"/>
      <x:c r="H48" s="42" t="str">
        <x:f>IF(OR(F48="",G48=""),"",F48-G48)</x:f>
      </x:c>
      <x:c r="K48" s="40"/>
      <x:c r="L48" s="42"/>
    </x:row>
    <x:row r="49">
      <x:c r="E49" s="42"/>
      <x:c r="F49" s="42"/>
      <x:c r="G49" s="42"/>
      <x:c r="H49" s="42" t="str">
        <x:f>IF(OR(F49="",G49=""),"",F49-G49)</x:f>
      </x:c>
      <x:c r="K49" s="40"/>
      <x:c r="L49" s="42"/>
    </x:row>
    <x:row r="50">
      <x:c r="E50" s="42"/>
      <x:c r="F50" s="42"/>
      <x:c r="G50" s="42"/>
      <x:c r="H50" s="42" t="str">
        <x:f>IF(OR(F50="",G50=""),"",F50-G50)</x:f>
      </x:c>
      <x:c r="K50" s="40"/>
      <x:c r="L50" s="42"/>
    </x:row>
    <x:row r="51">
      <x:c r="E51" s="42"/>
      <x:c r="F51" s="42"/>
      <x:c r="G51" s="42"/>
      <x:c r="H51" s="42" t="str">
        <x:f>IF(OR(F51="",G51=""),"",F51-G51)</x:f>
      </x:c>
      <x:c r="K51" s="40"/>
      <x:c r="L51" s="42"/>
    </x:row>
    <x:row r="52">
      <x:c r="E52" s="42"/>
      <x:c r="F52" s="42"/>
      <x:c r="G52" s="42"/>
      <x:c r="H52" s="42" t="str">
        <x:f>IF(OR(F52="",G52=""),"",F52-G52)</x:f>
      </x:c>
      <x:c r="K52" s="40"/>
      <x:c r="L52" s="42"/>
    </x:row>
    <x:row r="53">
      <x:c r="E53" s="42"/>
      <x:c r="F53" s="42"/>
      <x:c r="G53" s="42"/>
      <x:c r="H53" s="42" t="str">
        <x:f>IF(OR(F53="",G53=""),"",F53-G53)</x:f>
      </x:c>
      <x:c r="K53" s="40"/>
      <x:c r="L53" s="42"/>
    </x:row>
    <x:row r="54">
      <x:c r="E54" s="42"/>
      <x:c r="F54" s="42"/>
      <x:c r="G54" s="42"/>
      <x:c r="H54" s="42" t="str">
        <x:f>IF(OR(F54="",G54=""),"",F54-G54)</x:f>
      </x:c>
      <x:c r="K54" s="40"/>
      <x:c r="L54" s="42"/>
    </x:row>
    <x:row r="55">
      <x:c r="E55" s="42"/>
      <x:c r="F55" s="42"/>
      <x:c r="G55" s="42"/>
      <x:c r="H55" s="42" t="str">
        <x:f>IF(OR(F55="",G55=""),"",F55-G55)</x:f>
      </x:c>
      <x:c r="K55" s="40"/>
      <x:c r="L55" s="42"/>
    </x:row>
    <x:row r="56">
      <x:c r="E56" s="42"/>
      <x:c r="F56" s="42"/>
      <x:c r="G56" s="42"/>
      <x:c r="H56" s="42" t="str">
        <x:f>IF(OR(F56="",G56=""),"",F56-G56)</x:f>
      </x:c>
      <x:c r="K56" s="40"/>
      <x:c r="L56" s="42"/>
    </x:row>
    <x:row r="57">
      <x:c r="E57" s="42"/>
      <x:c r="F57" s="42"/>
      <x:c r="G57" s="42"/>
      <x:c r="H57" s="42" t="str">
        <x:f>IF(OR(F57="",G57=""),"",F57-G57)</x:f>
      </x:c>
      <x:c r="K57" s="40"/>
      <x:c r="L57" s="42"/>
    </x:row>
    <x:row r="58">
      <x:c r="E58" s="42"/>
      <x:c r="F58" s="42"/>
      <x:c r="G58" s="42"/>
      <x:c r="H58" s="42" t="str">
        <x:f>IF(OR(F58="",G58=""),"",F58-G58)</x:f>
      </x:c>
      <x:c r="K58" s="40"/>
      <x:c r="L58" s="42"/>
    </x:row>
    <x:row r="59">
      <x:c r="E59" s="42"/>
      <x:c r="F59" s="42"/>
      <x:c r="G59" s="42"/>
      <x:c r="H59" s="42" t="str">
        <x:f>IF(OR(F59="",G59=""),"",F59-G59)</x:f>
      </x:c>
      <x:c r="K59" s="40"/>
      <x:c r="L59" s="42"/>
    </x:row>
    <x:row r="60">
      <x:c r="E60" s="42"/>
      <x:c r="F60" s="42"/>
      <x:c r="G60" s="42"/>
      <x:c r="H60" s="42" t="str">
        <x:f>IF(OR(F60="",G60=""),"",F60-G60)</x:f>
      </x:c>
      <x:c r="K60" s="40"/>
      <x:c r="L60" s="42"/>
    </x:row>
    <x:row r="61">
      <x:c r="E61" s="42"/>
      <x:c r="F61" s="42"/>
      <x:c r="G61" s="42"/>
      <x:c r="H61" s="42" t="str">
        <x:f>IF(OR(F61="",G61=""),"",F61-G61)</x:f>
      </x:c>
      <x:c r="K61" s="40"/>
      <x:c r="L61" s="42"/>
    </x:row>
    <x:row r="62">
      <x:c r="E62" s="42"/>
      <x:c r="F62" s="42"/>
      <x:c r="G62" s="42"/>
      <x:c r="H62" s="42" t="str">
        <x:f>IF(OR(F62="",G62=""),"",F62-G62)</x:f>
      </x:c>
      <x:c r="K62" s="40"/>
      <x:c r="L62" s="42"/>
    </x:row>
    <x:row r="63">
      <x:c r="E63" s="42"/>
      <x:c r="F63" s="42"/>
      <x:c r="G63" s="42"/>
      <x:c r="H63" s="42" t="str">
        <x:f>IF(OR(F63="",G63=""),"",F63-G63)</x:f>
      </x:c>
      <x:c r="K63" s="40"/>
      <x:c r="L63" s="42"/>
    </x:row>
    <x:row r="64">
      <x:c r="E64" s="42"/>
      <x:c r="F64" s="42"/>
      <x:c r="G64" s="42"/>
      <x:c r="H64" s="42" t="str">
        <x:f>IF(OR(F64="",G64=""),"",F64-G64)</x:f>
      </x:c>
      <x:c r="K64" s="40"/>
      <x:c r="L64" s="42"/>
    </x:row>
    <x:row r="65">
      <x:c r="E65" s="42"/>
      <x:c r="F65" s="42"/>
      <x:c r="G65" s="42"/>
      <x:c r="H65" s="42" t="str">
        <x:f>IF(OR(F65="",G65=""),"",F65-G65)</x:f>
      </x:c>
      <x:c r="K65" s="40"/>
      <x:c r="L65" s="42"/>
    </x:row>
    <x:row r="66">
      <x:c r="E66" s="42"/>
      <x:c r="F66" s="42"/>
      <x:c r="G66" s="42"/>
      <x:c r="H66" s="42" t="str">
        <x:f>IF(OR(F66="",G66=""),"",F66-G66)</x:f>
      </x:c>
      <x:c r="K66" s="40"/>
      <x:c r="L66" s="42"/>
    </x:row>
    <x:row r="67">
      <x:c r="E67" s="42"/>
      <x:c r="F67" s="42"/>
      <x:c r="G67" s="42"/>
      <x:c r="H67" s="42" t="str">
        <x:f>IF(OR(F67="",G67=""),"",F67-G67)</x:f>
      </x:c>
      <x:c r="K67" s="40"/>
      <x:c r="L67" s="42"/>
    </x:row>
    <x:row r="68">
      <x:c r="E68" s="42"/>
      <x:c r="F68" s="42"/>
      <x:c r="G68" s="42"/>
      <x:c r="H68" s="42" t="str">
        <x:f>IF(OR(F68="",G68=""),"",F68-G68)</x:f>
      </x:c>
      <x:c r="K68" s="40"/>
      <x:c r="L68" s="42"/>
    </x:row>
    <x:row r="69">
      <x:c r="E69" s="42"/>
      <x:c r="F69" s="42"/>
      <x:c r="G69" s="42"/>
      <x:c r="H69" s="42" t="str">
        <x:f>IF(OR(F69="",G69=""),"",F69-G69)</x:f>
      </x:c>
      <x:c r="K69" s="40"/>
      <x:c r="L69" s="42"/>
    </x:row>
    <x:row r="70">
      <x:c r="E70" s="42"/>
      <x:c r="F70" s="42"/>
      <x:c r="G70" s="42"/>
      <x:c r="H70" s="42" t="str">
        <x:f>IF(OR(F70="",G70=""),"",F70-G70)</x:f>
      </x:c>
      <x:c r="K70" s="40"/>
      <x:c r="L70" s="42"/>
    </x:row>
    <x:row r="71">
      <x:c r="E71" s="42"/>
      <x:c r="F71" s="42"/>
      <x:c r="G71" s="42"/>
      <x:c r="H71" s="42" t="str">
        <x:f>IF(OR(F71="",G71=""),"",F71-G71)</x:f>
      </x:c>
      <x:c r="K71" s="40"/>
      <x:c r="L71" s="42"/>
    </x:row>
    <x:row r="72">
      <x:c r="E72" s="42"/>
      <x:c r="F72" s="42"/>
      <x:c r="G72" s="42"/>
      <x:c r="H72" s="42" t="str">
        <x:f>IF(OR(F72="",G72=""),"",F72-G72)</x:f>
      </x:c>
      <x:c r="K72" s="40"/>
      <x:c r="L72" s="42"/>
    </x:row>
    <x:row r="73">
      <x:c r="E73" s="42"/>
      <x:c r="F73" s="42"/>
      <x:c r="G73" s="42"/>
      <x:c r="H73" s="42" t="str">
        <x:f>IF(OR(F73="",G73=""),"",F73-G73)</x:f>
      </x:c>
      <x:c r="K73" s="40"/>
      <x:c r="L73" s="42"/>
    </x:row>
    <x:row r="74">
      <x:c r="E74" s="42"/>
      <x:c r="F74" s="42"/>
      <x:c r="G74" s="42"/>
      <x:c r="H74" s="42" t="str">
        <x:f>IF(OR(F74="",G74=""),"",F74-G74)</x:f>
      </x:c>
      <x:c r="K74" s="40"/>
      <x:c r="L74" s="42"/>
    </x:row>
    <x:row r="75">
      <x:c r="E75" s="42"/>
      <x:c r="F75" s="42"/>
      <x:c r="G75" s="42"/>
      <x:c r="H75" s="42" t="str">
        <x:f>IF(OR(F75="",G75=""),"",F75-G75)</x:f>
      </x:c>
      <x:c r="K75" s="40"/>
      <x:c r="L75" s="42"/>
    </x:row>
    <x:row r="76">
      <x:c r="E76" s="42"/>
      <x:c r="F76" s="42"/>
      <x:c r="G76" s="42"/>
      <x:c r="H76" s="42" t="str">
        <x:f>IF(OR(F76="",G76=""),"",F76-G76)</x:f>
      </x:c>
      <x:c r="K76" s="40"/>
      <x:c r="L76" s="42"/>
    </x:row>
    <x:row r="77">
      <x:c r="E77" s="42"/>
      <x:c r="F77" s="42"/>
      <x:c r="G77" s="42"/>
      <x:c r="H77" s="42" t="str">
        <x:f>IF(OR(F77="",G77=""),"",F77-G77)</x:f>
      </x:c>
      <x:c r="K77" s="40"/>
      <x:c r="L77" s="42"/>
    </x:row>
    <x:row r="78">
      <x:c r="E78" s="42"/>
      <x:c r="F78" s="42"/>
      <x:c r="G78" s="42"/>
      <x:c r="H78" s="42" t="str">
        <x:f>IF(OR(F78="",G78=""),"",F78-G78)</x:f>
      </x:c>
      <x:c r="K78" s="40"/>
      <x:c r="L78" s="42"/>
    </x:row>
    <x:row r="79">
      <x:c r="E79" s="42"/>
      <x:c r="F79" s="42"/>
      <x:c r="G79" s="42"/>
      <x:c r="H79" s="42" t="str">
        <x:f>IF(OR(F79="",G79=""),"",F79-G79)</x:f>
      </x:c>
      <x:c r="K79" s="40"/>
      <x:c r="L79" s="42"/>
    </x:row>
    <x:row r="80">
      <x:c r="E80" s="42"/>
      <x:c r="F80" s="42"/>
      <x:c r="G80" s="42"/>
      <x:c r="H80" s="42" t="str">
        <x:f>IF(OR(F80="",G80=""),"",F80-G80)</x:f>
      </x:c>
      <x:c r="K80" s="40"/>
      <x:c r="L80" s="42"/>
    </x:row>
    <x:row r="81">
      <x:c r="E81" s="42"/>
      <x:c r="F81" s="42"/>
      <x:c r="G81" s="42"/>
      <x:c r="H81" s="42" t="str">
        <x:f>IF(OR(F81="",G81=""),"",F81-G81)</x:f>
      </x:c>
      <x:c r="K81" s="40"/>
      <x:c r="L81" s="42"/>
    </x:row>
    <x:row r="82">
      <x:c r="E82" s="42"/>
      <x:c r="F82" s="42"/>
      <x:c r="G82" s="42"/>
      <x:c r="H82" s="42" t="str">
        <x:f>IF(OR(F82="",G82=""),"",F82-G82)</x:f>
      </x:c>
      <x:c r="K82" s="40"/>
      <x:c r="L82" s="42"/>
    </x:row>
    <x:row r="83">
      <x:c r="E83" s="42"/>
      <x:c r="F83" s="42"/>
      <x:c r="G83" s="42"/>
      <x:c r="H83" s="42" t="str">
        <x:f>IF(OR(F83="",G83=""),"",F83-G83)</x:f>
      </x:c>
      <x:c r="K83" s="40"/>
      <x:c r="L83" s="42"/>
    </x:row>
    <x:row r="84">
      <x:c r="E84" s="42"/>
      <x:c r="F84" s="42"/>
      <x:c r="G84" s="42"/>
      <x:c r="H84" s="42" t="str">
        <x:f>IF(OR(F84="",G84=""),"",F84-G84)</x:f>
      </x:c>
      <x:c r="K84" s="40"/>
      <x:c r="L84" s="42"/>
    </x:row>
    <x:row r="85">
      <x:c r="E85" s="42"/>
      <x:c r="F85" s="42"/>
      <x:c r="G85" s="42"/>
      <x:c r="H85" s="42" t="str">
        <x:f>IF(OR(F85="",G85=""),"",F85-G85)</x:f>
      </x:c>
      <x:c r="K85" s="40"/>
      <x:c r="L85" s="42"/>
    </x:row>
    <x:row r="86">
      <x:c r="E86" s="42"/>
      <x:c r="F86" s="42"/>
      <x:c r="G86" s="42"/>
      <x:c r="H86" s="42" t="str">
        <x:f>IF(OR(F86="",G86=""),"",F86-G86)</x:f>
      </x:c>
      <x:c r="K86" s="40"/>
      <x:c r="L86" s="42"/>
    </x:row>
    <x:row r="87">
      <x:c r="E87" s="42"/>
      <x:c r="F87" s="42"/>
      <x:c r="G87" s="42"/>
      <x:c r="H87" s="42" t="str">
        <x:f>IF(OR(F87="",G87=""),"",F87-G87)</x:f>
      </x:c>
      <x:c r="K87" s="40"/>
      <x:c r="L87" s="42"/>
    </x:row>
    <x:row r="88">
      <x:c r="E88" s="42"/>
      <x:c r="F88" s="42"/>
      <x:c r="G88" s="42"/>
      <x:c r="H88" s="42" t="str">
        <x:f>IF(OR(F88="",G88=""),"",F88-G88)</x:f>
      </x:c>
      <x:c r="K88" s="40"/>
      <x:c r="L88" s="42"/>
    </x:row>
    <x:row r="89">
      <x:c r="E89" s="42"/>
      <x:c r="F89" s="42"/>
      <x:c r="G89" s="42"/>
      <x:c r="H89" s="42" t="str">
        <x:f>IF(OR(F89="",G89=""),"",F89-G89)</x:f>
      </x:c>
      <x:c r="K89" s="40"/>
      <x:c r="L89" s="42"/>
    </x:row>
    <x:row r="90">
      <x:c r="E90" s="42"/>
      <x:c r="F90" s="42"/>
      <x:c r="G90" s="42"/>
      <x:c r="H90" s="42" t="str">
        <x:f>IF(OR(F90="",G90=""),"",F90-G90)</x:f>
      </x:c>
      <x:c r="K90" s="40"/>
      <x:c r="L90" s="42"/>
    </x:row>
    <x:row r="91">
      <x:c r="E91" s="42"/>
      <x:c r="F91" s="42"/>
      <x:c r="G91" s="42"/>
      <x:c r="H91" s="42" t="str">
        <x:f>IF(OR(F91="",G91=""),"",F91-G91)</x:f>
      </x:c>
      <x:c r="K91" s="40"/>
      <x:c r="L91" s="42"/>
    </x:row>
    <x:row r="92">
      <x:c r="E92" s="42"/>
      <x:c r="F92" s="42"/>
      <x:c r="G92" s="42"/>
      <x:c r="H92" s="42" t="str">
        <x:f>IF(OR(F92="",G92=""),"",F92-G92)</x:f>
      </x:c>
      <x:c r="K92" s="40"/>
      <x:c r="L92" s="42"/>
    </x:row>
    <x:row r="93">
      <x:c r="E93" s="42"/>
      <x:c r="F93" s="42"/>
      <x:c r="G93" s="42"/>
      <x:c r="H93" s="42" t="str">
        <x:f>IF(OR(F93="",G93=""),"",F93-G93)</x:f>
      </x:c>
      <x:c r="K93" s="40"/>
      <x:c r="L93" s="42"/>
    </x:row>
    <x:row r="94">
      <x:c r="E94" s="42"/>
      <x:c r="F94" s="42"/>
      <x:c r="G94" s="42"/>
      <x:c r="H94" s="42" t="str">
        <x:f>IF(OR(F94="",G94=""),"",F94-G94)</x:f>
      </x:c>
      <x:c r="K94" s="40"/>
      <x:c r="L94" s="42"/>
    </x:row>
    <x:row r="95">
      <x:c r="E95" s="42"/>
      <x:c r="F95" s="42"/>
      <x:c r="G95" s="42"/>
      <x:c r="H95" s="42" t="str">
        <x:f>IF(OR(F95="",G95=""),"",F95-G95)</x:f>
      </x:c>
      <x:c r="K95" s="40"/>
      <x:c r="L95" s="42"/>
    </x:row>
    <x:row r="96">
      <x:c r="E96" s="42"/>
      <x:c r="F96" s="42"/>
      <x:c r="G96" s="42"/>
      <x:c r="H96" s="42" t="str">
        <x:f>IF(OR(F96="",G96=""),"",F96-G96)</x:f>
      </x:c>
      <x:c r="K96" s="40"/>
      <x:c r="L96" s="42"/>
    </x:row>
    <x:row r="97">
      <x:c r="E97" s="42"/>
      <x:c r="F97" s="42"/>
      <x:c r="G97" s="42"/>
      <x:c r="H97" s="42" t="str">
        <x:f>IF(OR(F97="",G97=""),"",F97-G97)</x:f>
      </x:c>
      <x:c r="K97" s="40"/>
      <x:c r="L97" s="42"/>
    </x:row>
    <x:row r="98">
      <x:c r="E98" s="42"/>
      <x:c r="F98" s="42"/>
      <x:c r="G98" s="42"/>
      <x:c r="H98" s="42" t="str">
        <x:f>IF(OR(F98="",G98=""),"",F98-G98)</x:f>
      </x:c>
      <x:c r="K98" s="40"/>
      <x:c r="L98" s="42"/>
    </x:row>
    <x:row r="99">
      <x:c r="E99" s="42"/>
      <x:c r="F99" s="42"/>
      <x:c r="G99" s="42"/>
      <x:c r="H99" s="42" t="str">
        <x:f>IF(OR(F99="",G99=""),"",F99-G99)</x:f>
      </x:c>
      <x:c r="K99" s="40"/>
      <x:c r="L99" s="42"/>
    </x:row>
    <x:row r="100">
      <x:c r="E100" s="42"/>
      <x:c r="F100" s="42"/>
      <x:c r="G100" s="42"/>
      <x:c r="H100" s="42" t="str">
        <x:f>IF(OR(F100="",G100=""),"",F100-G100)</x:f>
      </x:c>
      <x:c r="K100" s="40"/>
      <x:c r="L100" s="42"/>
    </x:row>
    <x:row r="101">
      <x:c r="E101" s="42"/>
      <x:c r="F101" s="42"/>
      <x:c r="G101" s="42"/>
      <x:c r="H101" s="42" t="str">
        <x:f>IF(OR(F101="",G101=""),"",F101-G101)</x:f>
      </x:c>
      <x:c r="K101" s="40"/>
      <x:c r="L101" s="42"/>
    </x:row>
    <x:row r="102">
      <x:c r="E102" s="42"/>
      <x:c r="F102" s="42"/>
      <x:c r="G102" s="42"/>
      <x:c r="H102" s="42" t="str">
        <x:f>IF(OR(F102="",G102=""),"",F102-G102)</x:f>
      </x:c>
      <x:c r="K102" s="40"/>
      <x:c r="L102" s="42"/>
    </x:row>
    <x:row r="103">
      <x:c r="E103" s="42"/>
      <x:c r="F103" s="42"/>
      <x:c r="G103" s="42"/>
      <x:c r="H103" s="42" t="str">
        <x:f>IF(OR(F103="",G103=""),"",F103-G103)</x:f>
      </x:c>
      <x:c r="K103" s="40"/>
      <x:c r="L103" s="42"/>
    </x:row>
    <x:row r="104">
      <x:c r="E104" s="42"/>
      <x:c r="F104" s="42"/>
      <x:c r="G104" s="42"/>
      <x:c r="H104" s="42" t="str">
        <x:f>IF(OR(F104="",G104=""),"",F104-G104)</x:f>
      </x:c>
      <x:c r="K104" s="40"/>
      <x:c r="L104" s="42"/>
    </x:row>
    <x:row r="105">
      <x:c r="E105" s="42"/>
      <x:c r="F105" s="42"/>
      <x:c r="G105" s="42"/>
      <x:c r="H105" s="42" t="str">
        <x:f>IF(OR(F105="",G105=""),"",F105-G105)</x:f>
      </x:c>
      <x:c r="K105" s="40"/>
      <x:c r="L105" s="42"/>
    </x:row>
    <x:row r="106">
      <x:c r="E106" s="42"/>
      <x:c r="F106" s="42"/>
      <x:c r="G106" s="42"/>
      <x:c r="H106" s="42" t="str">
        <x:f>IF(OR(F106="",G106=""),"",F106-G106)</x:f>
      </x:c>
      <x:c r="K106" s="40"/>
      <x:c r="L106" s="42"/>
    </x:row>
    <x:row r="107">
      <x:c r="E107" s="42"/>
      <x:c r="F107" s="42"/>
      <x:c r="G107" s="42"/>
      <x:c r="H107" s="42" t="str">
        <x:f>IF(OR(F107="",G107=""),"",F107-G107)</x:f>
      </x:c>
      <x:c r="K107" s="40"/>
      <x:c r="L107" s="42"/>
    </x:row>
    <x:row r="108">
      <x:c r="E108" s="42"/>
      <x:c r="F108" s="42"/>
      <x:c r="G108" s="42"/>
      <x:c r="H108" s="42" t="str">
        <x:f>IF(OR(F108="",G108=""),"",F108-G108)</x:f>
      </x:c>
      <x:c r="K108" s="40"/>
      <x:c r="L108" s="42"/>
    </x:row>
    <x:row r="109">
      <x:c r="E109" s="42"/>
      <x:c r="F109" s="42"/>
      <x:c r="G109" s="42"/>
      <x:c r="H109" s="42" t="str">
        <x:f>IF(OR(F109="",G109=""),"",F109-G109)</x:f>
      </x:c>
      <x:c r="K109" s="40"/>
      <x:c r="L109" s="42"/>
    </x:row>
    <x:row r="110">
      <x:c r="E110" s="42"/>
      <x:c r="F110" s="42"/>
      <x:c r="G110" s="42"/>
      <x:c r="H110" s="42" t="str">
        <x:f>IF(OR(F110="",G110=""),"",F110-G110)</x:f>
      </x:c>
      <x:c r="K110" s="40"/>
      <x:c r="L110" s="42"/>
    </x:row>
    <x:row r="111">
      <x:c r="E111" s="42"/>
      <x:c r="F111" s="42"/>
      <x:c r="G111" s="42"/>
      <x:c r="H111" s="42" t="str">
        <x:f>IF(OR(F111="",G111=""),"",F111-G111)</x:f>
      </x:c>
      <x:c r="K111" s="40"/>
      <x:c r="L111" s="42"/>
    </x:row>
    <x:row r="112">
      <x:c r="E112" s="42"/>
      <x:c r="F112" s="42"/>
      <x:c r="G112" s="42"/>
      <x:c r="H112" s="42" t="str">
        <x:f>IF(OR(F112="",G112=""),"",F112-G112)</x:f>
      </x:c>
      <x:c r="K112" s="40"/>
      <x:c r="L112" s="42"/>
    </x:row>
    <x:row r="113">
      <x:c r="E113" s="42"/>
      <x:c r="F113" s="42"/>
      <x:c r="G113" s="42"/>
      <x:c r="H113" s="42" t="str">
        <x:f>IF(OR(F113="",G113=""),"",F113-G113)</x:f>
      </x:c>
      <x:c r="K113" s="40"/>
      <x:c r="L113" s="42"/>
    </x:row>
    <x:row r="114">
      <x:c r="E114" s="42"/>
      <x:c r="F114" s="42"/>
      <x:c r="G114" s="42"/>
      <x:c r="H114" s="42" t="str">
        <x:f>IF(OR(F114="",G114=""),"",F114-G114)</x:f>
      </x:c>
      <x:c r="K114" s="40"/>
      <x:c r="L114" s="42"/>
    </x:row>
    <x:row r="115">
      <x:c r="E115" s="42"/>
      <x:c r="F115" s="42"/>
      <x:c r="G115" s="42"/>
      <x:c r="H115" s="42" t="str">
        <x:f>IF(OR(F115="",G115=""),"",F115-G115)</x:f>
      </x:c>
      <x:c r="K115" s="40"/>
      <x:c r="L115" s="42"/>
    </x:row>
    <x:row r="116">
      <x:c r="E116" s="42"/>
      <x:c r="F116" s="42"/>
      <x:c r="G116" s="42"/>
      <x:c r="H116" s="42" t="str">
        <x:f>IF(OR(F116="",G116=""),"",F116-G116)</x:f>
      </x:c>
      <x:c r="K116" s="40"/>
      <x:c r="L116" s="42"/>
    </x:row>
    <x:row r="117">
      <x:c r="E117" s="42"/>
      <x:c r="F117" s="42"/>
      <x:c r="G117" s="42"/>
      <x:c r="H117" s="42" t="str">
        <x:f>IF(OR(F117="",G117=""),"",F117-G117)</x:f>
      </x:c>
      <x:c r="K117" s="40"/>
      <x:c r="L117" s="42"/>
    </x:row>
    <x:row r="118">
      <x:c r="E118" s="42"/>
      <x:c r="F118" s="42"/>
      <x:c r="G118" s="42"/>
      <x:c r="H118" s="42" t="str">
        <x:f>IF(OR(F118="",G118=""),"",F118-G118)</x:f>
      </x:c>
      <x:c r="K118" s="40"/>
      <x:c r="L118" s="42"/>
    </x:row>
    <x:row r="119">
      <x:c r="E119" s="42"/>
      <x:c r="F119" s="42"/>
      <x:c r="G119" s="42"/>
      <x:c r="H119" s="42" t="str">
        <x:f>IF(OR(F119="",G119=""),"",F119-G119)</x:f>
      </x:c>
      <x:c r="K119" s="40"/>
      <x:c r="L119" s="42"/>
    </x:row>
    <x:row r="120">
      <x:c r="E120" s="42"/>
      <x:c r="F120" s="42"/>
      <x:c r="G120" s="42"/>
      <x:c r="H120" s="42" t="str">
        <x:f>IF(OR(F120="",G120=""),"",F120-G120)</x:f>
      </x:c>
      <x:c r="K120" s="40"/>
      <x:c r="L120" s="42"/>
    </x:row>
    <x:row r="121">
      <x:c r="E121" s="42"/>
      <x:c r="F121" s="42"/>
      <x:c r="G121" s="42"/>
      <x:c r="H121" s="42" t="str">
        <x:f>IF(OR(F121="",G121=""),"",F121-G121)</x:f>
      </x:c>
      <x:c r="K121" s="40"/>
      <x:c r="L121" s="42"/>
    </x:row>
    <x:row r="122">
      <x:c r="E122" s="42"/>
      <x:c r="F122" s="42"/>
      <x:c r="G122" s="42"/>
      <x:c r="H122" s="42" t="str">
        <x:f>IF(OR(F122="",G122=""),"",F122-G122)</x:f>
      </x:c>
      <x:c r="K122" s="40"/>
      <x:c r="L122" s="42"/>
    </x:row>
    <x:row r="123">
      <x:c r="E123" s="42"/>
      <x:c r="F123" s="42"/>
      <x:c r="G123" s="42"/>
      <x:c r="H123" s="42" t="str">
        <x:f>IF(OR(F123="",G123=""),"",F123-G123)</x:f>
      </x:c>
      <x:c r="K123" s="40"/>
      <x:c r="L123" s="42"/>
    </x:row>
    <x:row r="124">
      <x:c r="E124" s="42"/>
      <x:c r="F124" s="42"/>
      <x:c r="G124" s="42"/>
      <x:c r="H124" s="42" t="str">
        <x:f>IF(OR(F124="",G124=""),"",F124-G124)</x:f>
      </x:c>
      <x:c r="K124" s="40"/>
      <x:c r="L124" s="42"/>
    </x:row>
    <x:row r="125">
      <x:c r="E125" s="42"/>
      <x:c r="F125" s="42"/>
      <x:c r="G125" s="42"/>
      <x:c r="H125" s="42" t="str">
        <x:f>IF(OR(F125="",G125=""),"",F125-G125)</x:f>
      </x:c>
      <x:c r="K125" s="40"/>
      <x:c r="L125" s="42"/>
    </x:row>
    <x:row r="126">
      <x:c r="E126" s="42"/>
      <x:c r="F126" s="42"/>
      <x:c r="G126" s="42"/>
      <x:c r="H126" s="42" t="str">
        <x:f>IF(OR(F126="",G126=""),"",F126-G126)</x:f>
      </x:c>
      <x:c r="K126" s="40"/>
      <x:c r="L126" s="42"/>
    </x:row>
    <x:row r="127">
      <x:c r="E127" s="42"/>
      <x:c r="F127" s="42"/>
      <x:c r="G127" s="42"/>
      <x:c r="H127" s="42" t="str">
        <x:f>IF(OR(F127="",G127=""),"",F127-G127)</x:f>
      </x:c>
      <x:c r="K127" s="40"/>
      <x:c r="L127" s="42"/>
    </x:row>
    <x:row r="128">
      <x:c r="E128" s="42"/>
      <x:c r="F128" s="42"/>
      <x:c r="G128" s="42"/>
      <x:c r="H128" s="42" t="str">
        <x:f>IF(OR(F128="",G128=""),"",F128-G128)</x:f>
      </x:c>
      <x:c r="K128" s="40"/>
      <x:c r="L128" s="42"/>
    </x:row>
    <x:row r="129">
      <x:c r="E129" s="42"/>
      <x:c r="F129" s="42"/>
      <x:c r="G129" s="42"/>
      <x:c r="H129" s="42" t="str">
        <x:f>IF(OR(F129="",G129=""),"",F129-G129)</x:f>
      </x:c>
      <x:c r="K129" s="40"/>
      <x:c r="L129" s="42"/>
    </x:row>
    <x:row r="130">
      <x:c r="E130" s="42"/>
      <x:c r="F130" s="42"/>
      <x:c r="G130" s="42"/>
      <x:c r="H130" s="42" t="str">
        <x:f>IF(OR(F130="",G130=""),"",F130-G130)</x:f>
      </x:c>
      <x:c r="K130" s="40"/>
      <x:c r="L130" s="42"/>
    </x:row>
    <x:row r="131">
      <x:c r="E131" s="42"/>
      <x:c r="F131" s="42"/>
      <x:c r="G131" s="42"/>
      <x:c r="H131" s="42" t="str">
        <x:f>IF(OR(F131="",G131=""),"",F131-G131)</x:f>
      </x:c>
      <x:c r="K131" s="40"/>
      <x:c r="L131" s="42"/>
    </x:row>
    <x:row r="132">
      <x:c r="E132" s="42"/>
      <x:c r="F132" s="42"/>
      <x:c r="G132" s="42"/>
      <x:c r="H132" s="42" t="str">
        <x:f>IF(OR(F132="",G132=""),"",F132-G132)</x:f>
      </x:c>
      <x:c r="K132" s="40"/>
      <x:c r="L132" s="42"/>
    </x:row>
    <x:row r="133">
      <x:c r="E133" s="42"/>
      <x:c r="F133" s="42"/>
      <x:c r="G133" s="42"/>
      <x:c r="H133" s="42" t="str">
        <x:f>IF(OR(F133="",G133=""),"",F133-G133)</x:f>
      </x:c>
      <x:c r="K133" s="40"/>
      <x:c r="L133" s="42"/>
    </x:row>
    <x:row r="134">
      <x:c r="E134" s="42"/>
      <x:c r="F134" s="42"/>
      <x:c r="G134" s="42"/>
      <x:c r="H134" s="42" t="str">
        <x:f>IF(OR(F134="",G134=""),"",F134-G134)</x:f>
      </x:c>
      <x:c r="K134" s="40"/>
      <x:c r="L134" s="42"/>
    </x:row>
    <x:row r="135">
      <x:c r="E135" s="42"/>
      <x:c r="F135" s="42"/>
      <x:c r="G135" s="42"/>
      <x:c r="H135" s="42" t="str">
        <x:f>IF(OR(F135="",G135=""),"",F135-G135)</x:f>
      </x:c>
      <x:c r="K135" s="40"/>
      <x:c r="L135" s="42"/>
    </x:row>
    <x:row r="136">
      <x:c r="E136" s="42"/>
      <x:c r="F136" s="42"/>
      <x:c r="G136" s="42"/>
      <x:c r="H136" s="42" t="str">
        <x:f>IF(OR(F136="",G136=""),"",F136-G136)</x:f>
      </x:c>
      <x:c r="K136" s="40"/>
      <x:c r="L136" s="42"/>
    </x:row>
    <x:row r="137">
      <x:c r="E137" s="42"/>
      <x:c r="F137" s="42"/>
      <x:c r="G137" s="42"/>
      <x:c r="H137" s="42" t="str">
        <x:f>IF(OR(F137="",G137=""),"",F137-G137)</x:f>
      </x:c>
      <x:c r="K137" s="40"/>
      <x:c r="L137" s="42"/>
    </x:row>
    <x:row r="138">
      <x:c r="E138" s="42"/>
      <x:c r="F138" s="42"/>
      <x:c r="G138" s="42"/>
      <x:c r="H138" s="42" t="str">
        <x:f>IF(OR(F138="",G138=""),"",F138-G138)</x:f>
      </x:c>
      <x:c r="K138" s="40"/>
      <x:c r="L138" s="42"/>
    </x:row>
    <x:row r="139">
      <x:c r="E139" s="42"/>
      <x:c r="F139" s="42"/>
      <x:c r="G139" s="42"/>
      <x:c r="H139" s="42" t="str">
        <x:f>IF(OR(F139="",G139=""),"",F139-G139)</x:f>
      </x:c>
      <x:c r="K139" s="40"/>
      <x:c r="L139" s="42"/>
    </x:row>
    <x:row r="140">
      <x:c r="E140" s="42"/>
      <x:c r="F140" s="42"/>
      <x:c r="G140" s="42"/>
      <x:c r="H140" s="42" t="str">
        <x:f>IF(OR(F140="",G140=""),"",F140-G140)</x:f>
      </x:c>
      <x:c r="K140" s="40"/>
      <x:c r="L140" s="42"/>
    </x:row>
    <x:row r="141">
      <x:c r="E141" s="42"/>
      <x:c r="F141" s="42"/>
      <x:c r="G141" s="42"/>
      <x:c r="H141" s="42" t="str">
        <x:f>IF(OR(F141="",G141=""),"",F141-G141)</x:f>
      </x:c>
      <x:c r="K141" s="40"/>
      <x:c r="L141" s="42"/>
    </x:row>
    <x:row r="142">
      <x:c r="E142" s="42"/>
      <x:c r="F142" s="42"/>
      <x:c r="G142" s="42"/>
      <x:c r="H142" s="42" t="str">
        <x:f>IF(OR(F142="",G142=""),"",F142-G142)</x:f>
      </x:c>
      <x:c r="K142" s="40"/>
      <x:c r="L142" s="42"/>
    </x:row>
    <x:row r="143">
      <x:c r="E143" s="42"/>
      <x:c r="F143" s="42"/>
      <x:c r="G143" s="42"/>
      <x:c r="H143" s="42" t="str">
        <x:f>IF(OR(F143="",G143=""),"",F143-G143)</x:f>
      </x:c>
      <x:c r="K143" s="40"/>
      <x:c r="L143" s="42"/>
    </x:row>
    <x:row r="144">
      <x:c r="E144" s="42"/>
      <x:c r="F144" s="42"/>
      <x:c r="G144" s="42"/>
      <x:c r="H144" s="42" t="str">
        <x:f>IF(OR(F144="",G144=""),"",F144-G144)</x:f>
      </x:c>
      <x:c r="K144" s="40"/>
      <x:c r="L144" s="42"/>
    </x:row>
    <x:row r="145">
      <x:c r="E145" s="42"/>
      <x:c r="F145" s="42"/>
      <x:c r="G145" s="42"/>
      <x:c r="H145" s="42" t="str">
        <x:f>IF(OR(F145="",G145=""),"",F145-G145)</x:f>
      </x:c>
      <x:c r="K145" s="40"/>
      <x:c r="L145" s="42"/>
    </x:row>
    <x:row r="146">
      <x:c r="E146" s="42"/>
      <x:c r="F146" s="42"/>
      <x:c r="G146" s="42"/>
      <x:c r="H146" s="42" t="str">
        <x:f>IF(OR(F146="",G146=""),"",F146-G146)</x:f>
      </x:c>
      <x:c r="K146" s="40"/>
      <x:c r="L146" s="42"/>
    </x:row>
    <x:row r="147">
      <x:c r="E147" s="42"/>
      <x:c r="F147" s="42"/>
      <x:c r="G147" s="42"/>
      <x:c r="H147" s="42" t="str">
        <x:f>IF(OR(F147="",G147=""),"",F147-G147)</x:f>
      </x:c>
      <x:c r="K147" s="40"/>
      <x:c r="L147" s="42"/>
    </x:row>
    <x:row r="148">
      <x:c r="E148" s="42"/>
      <x:c r="F148" s="42"/>
      <x:c r="G148" s="42"/>
      <x:c r="H148" s="42" t="str">
        <x:f>IF(OR(F148="",G148=""),"",F148-G148)</x:f>
      </x:c>
      <x:c r="K148" s="40"/>
      <x:c r="L148" s="42"/>
    </x:row>
    <x:row r="149">
      <x:c r="E149" s="42"/>
      <x:c r="F149" s="42"/>
      <x:c r="G149" s="42"/>
      <x:c r="H149" s="42" t="str">
        <x:f>IF(OR(F149="",G149=""),"",F149-G149)</x:f>
      </x:c>
      <x:c r="K149" s="40"/>
      <x:c r="L149" s="42"/>
    </x:row>
    <x:row r="150">
      <x:c r="E150" s="42"/>
      <x:c r="F150" s="42"/>
      <x:c r="G150" s="42"/>
      <x:c r="H150" s="42" t="str">
        <x:f>IF(OR(F150="",G150=""),"",F150-G150)</x:f>
      </x:c>
      <x:c r="K150" s="40"/>
      <x:c r="L150" s="42"/>
    </x:row>
    <x:row r="151">
      <x:c r="E151" s="42"/>
      <x:c r="F151" s="42"/>
      <x:c r="G151" s="42"/>
      <x:c r="H151" s="42" t="str">
        <x:f>IF(OR(F151="",G151=""),"",F151-G151)</x:f>
      </x:c>
      <x:c r="K151" s="40"/>
      <x:c r="L151" s="42"/>
    </x:row>
    <x:row r="152">
      <x:c r="E152" s="42"/>
      <x:c r="F152" s="42"/>
      <x:c r="G152" s="42"/>
      <x:c r="H152" s="42" t="str">
        <x:f>IF(OR(F152="",G152=""),"",F152-G152)</x:f>
      </x:c>
      <x:c r="K152" s="40"/>
      <x:c r="L152" s="42"/>
    </x:row>
    <x:row r="153">
      <x:c r="E153" s="42"/>
      <x:c r="F153" s="42"/>
      <x:c r="G153" s="42"/>
      <x:c r="H153" s="42" t="str">
        <x:f>IF(OR(F153="",G153=""),"",F153-G153)</x:f>
      </x:c>
      <x:c r="K153" s="40"/>
      <x:c r="L153" s="42"/>
    </x:row>
    <x:row r="154">
      <x:c r="E154" s="42"/>
      <x:c r="F154" s="42"/>
      <x:c r="G154" s="42"/>
      <x:c r="H154" s="42" t="str">
        <x:f>IF(OR(F154="",G154=""),"",F154-G154)</x:f>
      </x:c>
      <x:c r="K154" s="40"/>
      <x:c r="L154" s="42"/>
    </x:row>
    <x:row r="155">
      <x:c r="E155" s="42"/>
      <x:c r="F155" s="42"/>
      <x:c r="G155" s="42"/>
      <x:c r="H155" s="42" t="str">
        <x:f>IF(OR(F155="",G155=""),"",F155-G155)</x:f>
      </x:c>
      <x:c r="K155" s="40"/>
      <x:c r="L155" s="42"/>
    </x:row>
    <x:row r="156">
      <x:c r="E156" s="42"/>
      <x:c r="F156" s="42"/>
      <x:c r="G156" s="42"/>
      <x:c r="H156" s="42" t="str">
        <x:f>IF(OR(F156="",G156=""),"",F156-G156)</x:f>
      </x:c>
      <x:c r="K156" s="40"/>
      <x:c r="L156" s="42"/>
    </x:row>
    <x:row r="157">
      <x:c r="E157" s="42"/>
      <x:c r="F157" s="42"/>
      <x:c r="G157" s="42"/>
      <x:c r="H157" s="42" t="str">
        <x:f>IF(OR(F157="",G157=""),"",F157-G157)</x:f>
      </x:c>
      <x:c r="K157" s="40"/>
      <x:c r="L157" s="42"/>
    </x:row>
    <x:row r="158">
      <x:c r="E158" s="42"/>
      <x:c r="F158" s="42"/>
      <x:c r="G158" s="42"/>
      <x:c r="H158" s="42" t="str">
        <x:f>IF(OR(F158="",G158=""),"",F158-G158)</x:f>
      </x:c>
      <x:c r="K158" s="40"/>
      <x:c r="L158" s="42"/>
    </x:row>
    <x:row r="159">
      <x:c r="E159" s="42"/>
      <x:c r="F159" s="42"/>
      <x:c r="G159" s="42"/>
      <x:c r="H159" s="42" t="str">
        <x:f>IF(OR(F159="",G159=""),"",F159-G159)</x:f>
      </x:c>
      <x:c r="K159" s="40"/>
      <x:c r="L159" s="42"/>
    </x:row>
    <x:row r="160">
      <x:c r="E160" s="42"/>
      <x:c r="F160" s="42"/>
      <x:c r="G160" s="42"/>
      <x:c r="H160" s="42" t="str">
        <x:f>IF(OR(F160="",G160=""),"",F160-G160)</x:f>
      </x:c>
      <x:c r="K160" s="40"/>
      <x:c r="L160" s="42"/>
    </x:row>
    <x:row r="161">
      <x:c r="E161" s="42"/>
      <x:c r="F161" s="42"/>
      <x:c r="G161" s="42"/>
      <x:c r="H161" s="42" t="str">
        <x:f>IF(OR(F161="",G161=""),"",F161-G161)</x:f>
      </x:c>
      <x:c r="K161" s="40"/>
      <x:c r="L161" s="42"/>
    </x:row>
    <x:row r="162">
      <x:c r="E162" s="42"/>
      <x:c r="F162" s="42"/>
      <x:c r="G162" s="42"/>
      <x:c r="H162" s="42" t="str">
        <x:f>IF(OR(F162="",G162=""),"",F162-G162)</x:f>
      </x:c>
      <x:c r="K162" s="40"/>
      <x:c r="L162" s="42"/>
    </x:row>
    <x:row r="163">
      <x:c r="E163" s="42"/>
      <x:c r="F163" s="42"/>
      <x:c r="G163" s="42"/>
      <x:c r="H163" s="42" t="str">
        <x:f>IF(OR(F163="",G163=""),"",F163-G163)</x:f>
      </x:c>
      <x:c r="K163" s="40"/>
      <x:c r="L163" s="42"/>
    </x:row>
    <x:row r="164">
      <x:c r="E164" s="42"/>
      <x:c r="F164" s="42"/>
      <x:c r="G164" s="42"/>
      <x:c r="H164" s="42" t="str">
        <x:f>IF(OR(F164="",G164=""),"",F164-G164)</x:f>
      </x:c>
      <x:c r="K164" s="40"/>
      <x:c r="L164" s="42"/>
    </x:row>
    <x:row r="165">
      <x:c r="E165" s="42"/>
      <x:c r="F165" s="42"/>
      <x:c r="G165" s="42"/>
      <x:c r="H165" s="42" t="str">
        <x:f>IF(OR(F165="",G165=""),"",F165-G165)</x:f>
      </x:c>
      <x:c r="K165" s="40"/>
      <x:c r="L165" s="42"/>
    </x:row>
    <x:row r="166">
      <x:c r="E166" s="42"/>
      <x:c r="F166" s="42"/>
      <x:c r="G166" s="42"/>
      <x:c r="H166" s="42" t="str">
        <x:f>IF(OR(F166="",G166=""),"",F166-G166)</x:f>
      </x:c>
      <x:c r="K166" s="40"/>
      <x:c r="L166" s="42"/>
    </x:row>
    <x:row r="167">
      <x:c r="E167" s="42"/>
      <x:c r="F167" s="42"/>
      <x:c r="G167" s="42"/>
      <x:c r="H167" s="42" t="str">
        <x:f>IF(OR(F167="",G167=""),"",F167-G167)</x:f>
      </x:c>
      <x:c r="K167" s="40"/>
      <x:c r="L167" s="42"/>
    </x:row>
    <x:row r="168">
      <x:c r="E168" s="42"/>
      <x:c r="F168" s="42"/>
      <x:c r="G168" s="42"/>
      <x:c r="H168" s="42" t="str">
        <x:f>IF(OR(F168="",G168=""),"",F168-G168)</x:f>
      </x:c>
      <x:c r="K168" s="40"/>
      <x:c r="L168" s="42"/>
    </x:row>
    <x:row r="169">
      <x:c r="E169" s="42"/>
      <x:c r="F169" s="42"/>
      <x:c r="G169" s="42"/>
      <x:c r="H169" s="42" t="str">
        <x:f>IF(OR(F169="",G169=""),"",F169-G169)</x:f>
      </x:c>
      <x:c r="K169" s="40"/>
      <x:c r="L169" s="42"/>
    </x:row>
    <x:row r="170">
      <x:c r="E170" s="42"/>
      <x:c r="F170" s="42"/>
      <x:c r="G170" s="42"/>
      <x:c r="H170" s="42" t="str">
        <x:f>IF(OR(F170="",G170=""),"",F170-G170)</x:f>
      </x:c>
      <x:c r="K170" s="40"/>
      <x:c r="L170" s="42"/>
    </x:row>
    <x:row r="171">
      <x:c r="E171" s="42"/>
      <x:c r="F171" s="42"/>
      <x:c r="G171" s="42"/>
      <x:c r="H171" s="42" t="str">
        <x:f>IF(OR(F171="",G171=""),"",F171-G171)</x:f>
      </x:c>
      <x:c r="K171" s="40"/>
      <x:c r="L171" s="42"/>
    </x:row>
    <x:row r="172">
      <x:c r="E172" s="42"/>
      <x:c r="F172" s="42"/>
      <x:c r="G172" s="42"/>
      <x:c r="H172" s="42" t="str">
        <x:f>IF(OR(F172="",G172=""),"",F172-G172)</x:f>
      </x:c>
      <x:c r="K172" s="40"/>
      <x:c r="L172" s="42"/>
    </x:row>
    <x:row r="173">
      <x:c r="E173" s="42"/>
      <x:c r="F173" s="42"/>
      <x:c r="G173" s="42"/>
      <x:c r="H173" s="42" t="str">
        <x:f>IF(OR(F173="",G173=""),"",F173-G173)</x:f>
      </x:c>
      <x:c r="K173" s="40"/>
      <x:c r="L173" s="42"/>
    </x:row>
    <x:row r="174">
      <x:c r="E174" s="42"/>
      <x:c r="F174" s="42"/>
      <x:c r="G174" s="42"/>
      <x:c r="H174" s="42" t="str">
        <x:f>IF(OR(F174="",G174=""),"",F174-G174)</x:f>
      </x:c>
      <x:c r="K174" s="40"/>
      <x:c r="L174" s="42"/>
    </x:row>
    <x:row r="175">
      <x:c r="E175" s="42"/>
      <x:c r="F175" s="42"/>
      <x:c r="G175" s="42"/>
      <x:c r="H175" s="42" t="str">
        <x:f>IF(OR(F175="",G175=""),"",F175-G175)</x:f>
      </x:c>
      <x:c r="K175" s="40"/>
      <x:c r="L175" s="42"/>
    </x:row>
    <x:row r="176">
      <x:c r="E176" s="42"/>
      <x:c r="F176" s="42"/>
      <x:c r="G176" s="42"/>
      <x:c r="H176" s="42" t="str">
        <x:f>IF(OR(F176="",G176=""),"",F176-G176)</x:f>
      </x:c>
      <x:c r="K176" s="40"/>
      <x:c r="L176" s="42"/>
    </x:row>
    <x:row r="177">
      <x:c r="E177" s="42"/>
      <x:c r="F177" s="42"/>
      <x:c r="G177" s="42"/>
      <x:c r="H177" s="42" t="str">
        <x:f>IF(OR(F177="",G177=""),"",F177-G177)</x:f>
      </x:c>
      <x:c r="K177" s="40"/>
      <x:c r="L177" s="42"/>
    </x:row>
    <x:row r="178">
      <x:c r="E178" s="42"/>
      <x:c r="F178" s="42"/>
      <x:c r="G178" s="42"/>
      <x:c r="H178" s="42" t="str">
        <x:f>IF(OR(F178="",G178=""),"",F178-G178)</x:f>
      </x:c>
      <x:c r="K178" s="40"/>
      <x:c r="L178" s="42"/>
    </x:row>
    <x:row r="179">
      <x:c r="E179" s="42"/>
      <x:c r="F179" s="42"/>
      <x:c r="G179" s="42"/>
      <x:c r="H179" s="42" t="str">
        <x:f>IF(OR(F179="",G179=""),"",F179-G179)</x:f>
      </x:c>
      <x:c r="K179" s="40"/>
      <x:c r="L179" s="42"/>
    </x:row>
    <x:row r="180">
      <x:c r="E180" s="42"/>
      <x:c r="F180" s="42"/>
      <x:c r="G180" s="42"/>
      <x:c r="H180" s="42" t="str">
        <x:f>IF(OR(F180="",G180=""),"",F180-G180)</x:f>
      </x:c>
      <x:c r="K180" s="40"/>
      <x:c r="L180" s="42"/>
    </x:row>
    <x:row r="181">
      <x:c r="E181" s="42"/>
      <x:c r="F181" s="42"/>
      <x:c r="G181" s="42"/>
      <x:c r="H181" s="42" t="str">
        <x:f>IF(OR(F181="",G181=""),"",F181-G181)</x:f>
      </x:c>
      <x:c r="K181" s="40"/>
      <x:c r="L181" s="42"/>
    </x:row>
    <x:row r="182">
      <x:c r="E182" s="42"/>
      <x:c r="F182" s="42"/>
      <x:c r="G182" s="42"/>
      <x:c r="H182" s="42" t="str">
        <x:f>IF(OR(F182="",G182=""),"",F182-G182)</x:f>
      </x:c>
      <x:c r="K182" s="40"/>
      <x:c r="L182" s="42"/>
    </x:row>
    <x:row r="183">
      <x:c r="E183" s="42"/>
      <x:c r="F183" s="42"/>
      <x:c r="G183" s="42"/>
      <x:c r="H183" s="42" t="str">
        <x:f>IF(OR(F183="",G183=""),"",F183-G183)</x:f>
      </x:c>
      <x:c r="K183" s="40"/>
      <x:c r="L183" s="42"/>
    </x:row>
    <x:row r="184">
      <x:c r="E184" s="42"/>
      <x:c r="F184" s="42"/>
      <x:c r="G184" s="42"/>
      <x:c r="H184" s="42" t="str">
        <x:f>IF(OR(F184="",G184=""),"",F184-G184)</x:f>
      </x:c>
      <x:c r="K184" s="40"/>
      <x:c r="L184" s="42"/>
    </x:row>
    <x:row r="185">
      <x:c r="E185" s="42"/>
      <x:c r="F185" s="42"/>
      <x:c r="G185" s="42"/>
      <x:c r="H185" s="42" t="str">
        <x:f>IF(OR(F185="",G185=""),"",F185-G185)</x:f>
      </x:c>
      <x:c r="K185" s="40"/>
      <x:c r="L185" s="42"/>
    </x:row>
    <x:row r="186">
      <x:c r="E186" s="42"/>
      <x:c r="F186" s="42"/>
      <x:c r="G186" s="42"/>
      <x:c r="H186" s="42" t="str">
        <x:f>IF(OR(F186="",G186=""),"",F186-G186)</x:f>
      </x:c>
      <x:c r="K186" s="40"/>
      <x:c r="L186" s="42"/>
    </x:row>
    <x:row r="187">
      <x:c r="E187" s="42"/>
      <x:c r="F187" s="42"/>
      <x:c r="G187" s="42"/>
      <x:c r="H187" s="42" t="str">
        <x:f>IF(OR(F187="",G187=""),"",F187-G187)</x:f>
      </x:c>
      <x:c r="K187" s="40"/>
      <x:c r="L187" s="42"/>
    </x:row>
    <x:row r="188">
      <x:c r="E188" s="42"/>
      <x:c r="F188" s="42"/>
      <x:c r="G188" s="42"/>
      <x:c r="H188" s="42" t="str">
        <x:f>IF(OR(F188="",G188=""),"",F188-G188)</x:f>
      </x:c>
      <x:c r="K188" s="40"/>
      <x:c r="L188" s="42"/>
    </x:row>
    <x:row r="189">
      <x:c r="E189" s="42"/>
      <x:c r="F189" s="42"/>
      <x:c r="G189" s="42"/>
      <x:c r="H189" s="42" t="str">
        <x:f>IF(OR(F189="",G189=""),"",F189-G189)</x:f>
      </x:c>
      <x:c r="K189" s="40"/>
      <x:c r="L189" s="42"/>
    </x:row>
    <x:row r="190">
      <x:c r="E190" s="42"/>
      <x:c r="F190" s="42"/>
      <x:c r="G190" s="42"/>
      <x:c r="H190" s="42" t="str">
        <x:f>IF(OR(F190="",G190=""),"",F190-G190)</x:f>
      </x:c>
      <x:c r="K190" s="40"/>
      <x:c r="L190" s="42"/>
    </x:row>
    <x:row r="191">
      <x:c r="E191" s="42"/>
      <x:c r="F191" s="42"/>
      <x:c r="G191" s="42"/>
      <x:c r="H191" s="42" t="str">
        <x:f>IF(OR(F191="",G191=""),"",F191-G191)</x:f>
      </x:c>
      <x:c r="K191" s="40"/>
      <x:c r="L191" s="42"/>
    </x:row>
    <x:row r="192">
      <x:c r="E192" s="42"/>
      <x:c r="F192" s="42"/>
      <x:c r="G192" s="42"/>
      <x:c r="H192" s="42" t="str">
        <x:f>IF(OR(F192="",G192=""),"",F192-G192)</x:f>
      </x:c>
      <x:c r="K192" s="40"/>
      <x:c r="L192" s="42"/>
    </x:row>
    <x:row r="193">
      <x:c r="E193" s="42"/>
      <x:c r="F193" s="42"/>
      <x:c r="G193" s="42"/>
      <x:c r="H193" s="42" t="str">
        <x:f>IF(OR(F193="",G193=""),"",F193-G193)</x:f>
      </x:c>
      <x:c r="K193" s="40"/>
      <x:c r="L193" s="42"/>
    </x:row>
    <x:row r="194">
      <x:c r="E194" s="42"/>
      <x:c r="F194" s="42"/>
      <x:c r="G194" s="42"/>
      <x:c r="H194" s="42" t="str">
        <x:f>IF(OR(F194="",G194=""),"",F194-G194)</x:f>
      </x:c>
      <x:c r="K194" s="40"/>
      <x:c r="L194" s="42"/>
    </x:row>
    <x:row r="195">
      <x:c r="E195" s="42"/>
      <x:c r="F195" s="42"/>
      <x:c r="G195" s="42"/>
      <x:c r="H195" s="42" t="str">
        <x:f>IF(OR(F195="",G195=""),"",F195-G195)</x:f>
      </x:c>
      <x:c r="K195" s="40"/>
      <x:c r="L195" s="42"/>
    </x:row>
    <x:row r="196">
      <x:c r="E196" s="42"/>
      <x:c r="F196" s="42"/>
      <x:c r="G196" s="42"/>
      <x:c r="H196" s="42" t="str">
        <x:f>IF(OR(F196="",G196=""),"",F196-G196)</x:f>
      </x:c>
      <x:c r="K196" s="40"/>
      <x:c r="L196" s="42"/>
    </x:row>
    <x:row r="197">
      <x:c r="E197" s="42"/>
      <x:c r="F197" s="42"/>
      <x:c r="G197" s="42"/>
      <x:c r="H197" s="42" t="str">
        <x:f>IF(OR(F197="",G197=""),"",F197-G197)</x:f>
      </x:c>
      <x:c r="K197" s="40"/>
      <x:c r="L197" s="42"/>
    </x:row>
    <x:row r="198">
      <x:c r="E198" s="42"/>
      <x:c r="F198" s="42"/>
      <x:c r="G198" s="42"/>
      <x:c r="H198" s="42" t="str">
        <x:f>IF(OR(F198="",G198=""),"",F198-G198)</x:f>
      </x:c>
      <x:c r="K198" s="40"/>
      <x:c r="L198" s="42"/>
    </x:row>
    <x:row r="199">
      <x:c r="E199" s="42"/>
      <x:c r="F199" s="42"/>
      <x:c r="G199" s="42"/>
      <x:c r="H199" s="42" t="str">
        <x:f>IF(OR(F199="",G199=""),"",F199-G199)</x:f>
      </x:c>
      <x:c r="K199" s="40"/>
      <x:c r="L199" s="42"/>
    </x:row>
    <x:row r="200">
      <x:c r="E200" s="42"/>
      <x:c r="F200" s="42"/>
      <x:c r="G200" s="42"/>
      <x:c r="H200" s="42" t="str">
        <x:f>IF(OR(F200="",G200=""),"",F200-G200)</x:f>
      </x:c>
      <x:c r="K200" s="40"/>
      <x:c r="L200" s="42"/>
    </x:row>
    <x:row r="201">
      <x:c r="E201" s="42"/>
      <x:c r="F201" s="42"/>
      <x:c r="G201" s="42"/>
      <x:c r="H201" s="42" t="str">
        <x:f>IF(OR(F201="",G201=""),"",F201-G201)</x:f>
      </x:c>
      <x:c r="K201" s="40"/>
      <x:c r="L201" s="42"/>
    </x:row>
    <x:row r="202">
      <x:c r="E202" s="42"/>
      <x:c r="F202" s="42"/>
      <x:c r="G202" s="42"/>
      <x:c r="H202" s="42" t="str">
        <x:f>IF(OR(F202="",G202=""),"",F202-G202)</x:f>
      </x:c>
      <x:c r="K202" s="40"/>
      <x:c r="L202" s="42"/>
    </x:row>
    <x:row r="203">
      <x:c r="E203" s="42"/>
      <x:c r="F203" s="42"/>
      <x:c r="G203" s="42"/>
      <x:c r="H203" s="42" t="str">
        <x:f>IF(OR(F203="",G203=""),"",F203-G203)</x:f>
      </x:c>
      <x:c r="K203" s="40"/>
      <x:c r="L203" s="42"/>
    </x:row>
    <x:row r="204">
      <x:c r="E204" s="42"/>
      <x:c r="F204" s="42"/>
      <x:c r="G204" s="42"/>
      <x:c r="H204" s="42" t="str">
        <x:f>IF(OR(F204="",G204=""),"",F204-G204)</x:f>
      </x:c>
      <x:c r="K204" s="40"/>
      <x:c r="L204" s="42"/>
    </x:row>
    <x:row r="205">
      <x:c r="E205" s="42"/>
      <x:c r="F205" s="42"/>
      <x:c r="G205" s="42"/>
      <x:c r="H205" s="42" t="str">
        <x:f>IF(OR(F205="",G205=""),"",F205-G205)</x:f>
      </x:c>
      <x:c r="K205" s="40"/>
      <x:c r="L205" s="42"/>
    </x:row>
    <x:row r="206">
      <x:c r="E206" s="42"/>
      <x:c r="F206" s="42"/>
      <x:c r="G206" s="42"/>
      <x:c r="H206" s="42" t="str">
        <x:f>IF(OR(F206="",G206=""),"",F206-G206)</x:f>
      </x:c>
      <x:c r="K206" s="40"/>
      <x:c r="L206" s="42"/>
    </x:row>
    <x:row r="207">
      <x:c r="E207" s="42"/>
      <x:c r="F207" s="42"/>
      <x:c r="G207" s="42"/>
      <x:c r="H207" s="42" t="str">
        <x:f>IF(OR(F207="",G207=""),"",F207-G207)</x:f>
      </x:c>
      <x:c r="K207" s="40"/>
      <x:c r="L207" s="42"/>
    </x:row>
    <x:row r="208">
      <x:c r="E208" s="42"/>
      <x:c r="F208" s="42"/>
      <x:c r="G208" s="42"/>
      <x:c r="H208" s="42" t="str">
        <x:f>IF(OR(F208="",G208=""),"",F208-G208)</x:f>
      </x:c>
      <x:c r="K208" s="40"/>
      <x:c r="L208" s="42"/>
    </x:row>
    <x:row r="209">
      <x:c r="E209" s="42"/>
      <x:c r="F209" s="42"/>
      <x:c r="G209" s="42"/>
      <x:c r="H209" s="42" t="str">
        <x:f>IF(OR(F209="",G209=""),"",F209-G209)</x:f>
      </x:c>
      <x:c r="K209" s="40"/>
      <x:c r="L209" s="42"/>
    </x:row>
    <x:row r="210">
      <x:c r="E210" s="42"/>
      <x:c r="F210" s="42"/>
      <x:c r="G210" s="42"/>
      <x:c r="H210" s="42" t="str">
        <x:f>IF(OR(F210="",G210=""),"",F210-G210)</x:f>
      </x:c>
      <x:c r="K210" s="40"/>
      <x:c r="L210" s="42"/>
    </x:row>
    <x:row r="211">
      <x:c r="E211" s="42"/>
      <x:c r="F211" s="42"/>
      <x:c r="G211" s="42"/>
      <x:c r="H211" s="42" t="str">
        <x:f>IF(OR(F211="",G211=""),"",F211-G211)</x:f>
      </x:c>
      <x:c r="K211" s="40"/>
      <x:c r="L211" s="42"/>
    </x:row>
    <x:row r="212">
      <x:c r="E212" s="42"/>
      <x:c r="F212" s="42"/>
      <x:c r="G212" s="42"/>
      <x:c r="H212" s="42" t="str">
        <x:f>IF(OR(F212="",G212=""),"",F212-G212)</x:f>
      </x:c>
      <x:c r="K212" s="40"/>
      <x:c r="L212" s="42"/>
    </x:row>
    <x:row r="213">
      <x:c r="E213" s="42"/>
      <x:c r="F213" s="42"/>
      <x:c r="G213" s="42"/>
      <x:c r="H213" s="42" t="str">
        <x:f>IF(OR(F213="",G213=""),"",F213-G213)</x:f>
      </x:c>
      <x:c r="K213" s="40"/>
      <x:c r="L213" s="42"/>
    </x:row>
    <x:row r="214">
      <x:c r="E214" s="42"/>
      <x:c r="F214" s="42"/>
      <x:c r="G214" s="42"/>
      <x:c r="H214" s="42" t="str">
        <x:f>IF(OR(F214="",G214=""),"",F214-G214)</x:f>
      </x:c>
      <x:c r="K214" s="40"/>
      <x:c r="L214" s="42"/>
    </x:row>
    <x:row r="215">
      <x:c r="E215" s="42"/>
      <x:c r="F215" s="42"/>
      <x:c r="G215" s="42"/>
      <x:c r="H215" s="42" t="str">
        <x:f>IF(OR(F215="",G215=""),"",F215-G215)</x:f>
      </x:c>
      <x:c r="K215" s="40"/>
      <x:c r="L215" s="42"/>
    </x:row>
    <x:row r="216">
      <x:c r="E216" s="42"/>
      <x:c r="F216" s="42"/>
      <x:c r="G216" s="42"/>
      <x:c r="H216" s="42" t="str">
        <x:f>IF(OR(F216="",G216=""),"",F216-G216)</x:f>
      </x:c>
      <x:c r="K216" s="40"/>
      <x:c r="L216" s="42"/>
    </x:row>
    <x:row r="217">
      <x:c r="E217" s="42"/>
      <x:c r="F217" s="42"/>
      <x:c r="G217" s="42"/>
      <x:c r="H217" s="42" t="str">
        <x:f>IF(OR(F217="",G217=""),"",F217-G217)</x:f>
      </x:c>
      <x:c r="K217" s="40"/>
      <x:c r="L217" s="42"/>
    </x:row>
    <x:row r="218">
      <x:c r="E218" s="42"/>
      <x:c r="F218" s="42"/>
      <x:c r="G218" s="42"/>
      <x:c r="H218" s="42" t="str">
        <x:f>IF(OR(F218="",G218=""),"",F218-G218)</x:f>
      </x:c>
      <x:c r="K218" s="40"/>
      <x:c r="L218" s="42"/>
    </x:row>
    <x:row r="219">
      <x:c r="E219" s="42"/>
      <x:c r="F219" s="42"/>
      <x:c r="G219" s="42"/>
      <x:c r="H219" s="42" t="str">
        <x:f>IF(OR(F219="",G219=""),"",F219-G219)</x:f>
      </x:c>
      <x:c r="K219" s="40"/>
      <x:c r="L219" s="42"/>
    </x:row>
    <x:row r="220">
      <x:c r="E220" s="42"/>
      <x:c r="F220" s="42"/>
      <x:c r="G220" s="42"/>
      <x:c r="H220" s="42" t="str">
        <x:f>IF(OR(F220="",G220=""),"",F220-G220)</x:f>
      </x:c>
      <x:c r="K220" s="40"/>
      <x:c r="L220" s="42"/>
    </x:row>
    <x:row r="221">
      <x:c r="E221" s="42"/>
      <x:c r="F221" s="42"/>
      <x:c r="G221" s="42"/>
      <x:c r="H221" s="42" t="str">
        <x:f>IF(OR(F221="",G221=""),"",F221-G221)</x:f>
      </x:c>
      <x:c r="K221" s="40"/>
      <x:c r="L221" s="42"/>
    </x:row>
    <x:row r="222">
      <x:c r="E222" s="42"/>
      <x:c r="F222" s="42"/>
      <x:c r="G222" s="42"/>
      <x:c r="H222" s="42" t="str">
        <x:f>IF(OR(F222="",G222=""),"",F222-G222)</x:f>
      </x:c>
      <x:c r="K222" s="40"/>
      <x:c r="L222" s="42"/>
    </x:row>
    <x:row r="223">
      <x:c r="E223" s="42"/>
      <x:c r="F223" s="42"/>
      <x:c r="G223" s="42"/>
      <x:c r="H223" s="42" t="str">
        <x:f>IF(OR(F223="",G223=""),"",F223-G223)</x:f>
      </x:c>
      <x:c r="K223" s="40"/>
      <x:c r="L223" s="42"/>
    </x:row>
    <x:row r="224">
      <x:c r="E224" s="42"/>
      <x:c r="F224" s="42"/>
      <x:c r="G224" s="42"/>
      <x:c r="H224" s="42" t="str">
        <x:f>IF(OR(F224="",G224=""),"",F224-G224)</x:f>
      </x:c>
      <x:c r="K224" s="40"/>
      <x:c r="L224" s="42"/>
    </x:row>
    <x:row r="225">
      <x:c r="E225" s="42"/>
      <x:c r="F225" s="42"/>
      <x:c r="G225" s="42"/>
      <x:c r="H225" s="42" t="str">
        <x:f>IF(OR(F225="",G225=""),"",F225-G225)</x:f>
      </x:c>
      <x:c r="K225" s="40"/>
      <x:c r="L225" s="42"/>
    </x:row>
    <x:row r="226">
      <x:c r="E226" s="42"/>
      <x:c r="F226" s="42"/>
      <x:c r="G226" s="42"/>
      <x:c r="H226" s="42" t="str">
        <x:f>IF(OR(F226="",G226=""),"",F226-G226)</x:f>
      </x:c>
      <x:c r="K226" s="40"/>
      <x:c r="L226" s="42"/>
    </x:row>
    <x:row r="227">
      <x:c r="E227" s="42"/>
      <x:c r="F227" s="42"/>
      <x:c r="G227" s="42"/>
      <x:c r="H227" s="42" t="str">
        <x:f>IF(OR(F227="",G227=""),"",F227-G227)</x:f>
      </x:c>
      <x:c r="K227" s="40"/>
      <x:c r="L227" s="42"/>
    </x:row>
    <x:row r="228">
      <x:c r="E228" s="42"/>
      <x:c r="F228" s="42"/>
      <x:c r="G228" s="42"/>
      <x:c r="H228" s="42" t="str">
        <x:f>IF(OR(F228="",G228=""),"",F228-G228)</x:f>
      </x:c>
      <x:c r="K228" s="40"/>
      <x:c r="L228" s="42"/>
    </x:row>
    <x:row r="229">
      <x:c r="E229" s="42"/>
      <x:c r="F229" s="42"/>
      <x:c r="G229" s="42"/>
      <x:c r="H229" s="42" t="str">
        <x:f>IF(OR(F229="",G229=""),"",F229-G229)</x:f>
      </x:c>
      <x:c r="K229" s="40"/>
      <x:c r="L229" s="42"/>
    </x:row>
    <x:row r="230">
      <x:c r="E230" s="42"/>
      <x:c r="F230" s="42"/>
      <x:c r="G230" s="42"/>
      <x:c r="H230" s="42" t="str">
        <x:f>IF(OR(F230="",G230=""),"",F230-G230)</x:f>
      </x:c>
      <x:c r="K230" s="40"/>
      <x:c r="L230" s="42"/>
    </x:row>
    <x:row r="231">
      <x:c r="E231" s="42"/>
      <x:c r="F231" s="42"/>
      <x:c r="G231" s="42"/>
      <x:c r="H231" s="42" t="str">
        <x:f>IF(OR(F231="",G231=""),"",F231-G231)</x:f>
      </x:c>
      <x:c r="K231" s="40"/>
      <x:c r="L231" s="42"/>
    </x:row>
    <x:row r="232">
      <x:c r="E232" s="42"/>
      <x:c r="F232" s="42"/>
      <x:c r="G232" s="42"/>
      <x:c r="H232" s="42" t="str">
        <x:f>IF(OR(F232="",G232=""),"",F232-G232)</x:f>
      </x:c>
      <x:c r="K232" s="40"/>
      <x:c r="L232" s="42"/>
    </x:row>
    <x:row r="233">
      <x:c r="E233" s="42"/>
      <x:c r="F233" s="42"/>
      <x:c r="G233" s="42"/>
      <x:c r="H233" s="42" t="str">
        <x:f>IF(OR(F233="",G233=""),"",F233-G233)</x:f>
      </x:c>
      <x:c r="K233" s="40"/>
      <x:c r="L233" s="42"/>
    </x:row>
    <x:row r="234">
      <x:c r="E234" s="42"/>
      <x:c r="F234" s="42"/>
      <x:c r="G234" s="42"/>
      <x:c r="H234" s="42" t="str">
        <x:f>IF(OR(F234="",G234=""),"",F234-G234)</x:f>
      </x:c>
      <x:c r="K234" s="40"/>
      <x:c r="L234" s="42"/>
    </x:row>
    <x:row r="235">
      <x:c r="E235" s="42"/>
      <x:c r="F235" s="42"/>
      <x:c r="G235" s="42"/>
      <x:c r="H235" s="42" t="str">
        <x:f>IF(OR(F235="",G235=""),"",F235-G235)</x:f>
      </x:c>
      <x:c r="K235" s="40"/>
      <x:c r="L235" s="42"/>
    </x:row>
    <x:row r="236">
      <x:c r="E236" s="42"/>
      <x:c r="F236" s="42"/>
      <x:c r="G236" s="42"/>
      <x:c r="H236" s="42" t="str">
        <x:f>IF(OR(F236="",G236=""),"",F236-G236)</x:f>
      </x:c>
      <x:c r="K236" s="40"/>
      <x:c r="L236" s="42"/>
    </x:row>
    <x:row r="237">
      <x:c r="E237" s="42"/>
      <x:c r="F237" s="42"/>
      <x:c r="G237" s="42"/>
      <x:c r="H237" s="42" t="str">
        <x:f>IF(OR(F237="",G237=""),"",F237-G237)</x:f>
      </x:c>
      <x:c r="K237" s="40"/>
      <x:c r="L237" s="42"/>
    </x:row>
    <x:row r="238">
      <x:c r="E238" s="42"/>
      <x:c r="F238" s="42"/>
      <x:c r="G238" s="42"/>
      <x:c r="H238" s="42" t="str">
        <x:f>IF(OR(F238="",G238=""),"",F238-G238)</x:f>
      </x:c>
      <x:c r="K238" s="40"/>
      <x:c r="L238" s="42"/>
    </x:row>
    <x:row r="239">
      <x:c r="E239" s="42"/>
      <x:c r="F239" s="42"/>
      <x:c r="G239" s="42"/>
      <x:c r="H239" s="42" t="str">
        <x:f>IF(OR(F239="",G239=""),"",F239-G239)</x:f>
      </x:c>
      <x:c r="K239" s="40"/>
      <x:c r="L239" s="42"/>
    </x:row>
    <x:row r="240">
      <x:c r="E240" s="42"/>
      <x:c r="F240" s="42"/>
      <x:c r="G240" s="42"/>
      <x:c r="H240" s="42" t="str">
        <x:f>IF(OR(F240="",G240=""),"",F240-G240)</x:f>
      </x:c>
      <x:c r="K240" s="40"/>
      <x:c r="L240" s="42"/>
    </x:row>
    <x:row r="241">
      <x:c r="E241" s="42"/>
      <x:c r="F241" s="42"/>
      <x:c r="G241" s="42"/>
      <x:c r="H241" s="42" t="str">
        <x:f>IF(OR(F241="",G241=""),"",F241-G241)</x:f>
      </x:c>
      <x:c r="K241" s="40"/>
      <x:c r="L241" s="42"/>
    </x:row>
    <x:row r="242">
      <x:c r="E242" s="42"/>
      <x:c r="F242" s="42"/>
      <x:c r="G242" s="42"/>
      <x:c r="H242" s="42" t="str">
        <x:f>IF(OR(F242="",G242=""),"",F242-G242)</x:f>
      </x:c>
      <x:c r="K242" s="40"/>
      <x:c r="L242" s="42"/>
    </x:row>
    <x:row r="243">
      <x:c r="E243" s="42"/>
      <x:c r="F243" s="42"/>
      <x:c r="G243" s="42"/>
      <x:c r="H243" s="42" t="str">
        <x:f>IF(OR(F243="",G243=""),"",F243-G243)</x:f>
      </x:c>
      <x:c r="K243" s="40"/>
      <x:c r="L243" s="42"/>
    </x:row>
    <x:row r="244">
      <x:c r="E244" s="42"/>
      <x:c r="F244" s="42"/>
      <x:c r="G244" s="42"/>
      <x:c r="H244" s="42" t="str">
        <x:f>IF(OR(F244="",G244=""),"",F244-G244)</x:f>
      </x:c>
      <x:c r="K244" s="40"/>
      <x:c r="L244" s="42"/>
    </x:row>
    <x:row r="245">
      <x:c r="E245" s="42"/>
      <x:c r="F245" s="42"/>
      <x:c r="G245" s="42"/>
      <x:c r="H245" s="42" t="str">
        <x:f>IF(OR(F245="",G245=""),"",F245-G245)</x:f>
      </x:c>
      <x:c r="K245" s="40"/>
      <x:c r="L245" s="42"/>
    </x:row>
    <x:row r="246">
      <x:c r="E246" s="42"/>
      <x:c r="F246" s="42"/>
      <x:c r="G246" s="42"/>
      <x:c r="H246" s="42" t="str">
        <x:f>IF(OR(F246="",G246=""),"",F246-G246)</x:f>
      </x:c>
      <x:c r="K246" s="40"/>
      <x:c r="L246" s="42"/>
    </x:row>
    <x:row r="247">
      <x:c r="E247" s="42"/>
      <x:c r="F247" s="42"/>
      <x:c r="G247" s="42"/>
      <x:c r="H247" s="42" t="str">
        <x:f>IF(OR(F247="",G247=""),"",F247-G247)</x:f>
      </x:c>
      <x:c r="K247" s="40"/>
      <x:c r="L247" s="42"/>
    </x:row>
    <x:row r="248">
      <x:c r="E248" s="42"/>
      <x:c r="F248" s="42"/>
      <x:c r="G248" s="42"/>
      <x:c r="H248" s="42" t="str">
        <x:f>IF(OR(F248="",G248=""),"",F248-G248)</x:f>
      </x:c>
      <x:c r="K248" s="40"/>
      <x:c r="L248" s="42"/>
    </x:row>
    <x:row r="249">
      <x:c r="E249" s="42"/>
      <x:c r="F249" s="42"/>
      <x:c r="G249" s="42"/>
      <x:c r="H249" s="42" t="str">
        <x:f>IF(OR(F249="",G249=""),"",F249-G249)</x:f>
      </x:c>
      <x:c r="K249" s="40"/>
      <x:c r="L249" s="42"/>
    </x:row>
    <x:row r="250">
      <x:c r="E250" s="42"/>
      <x:c r="F250" s="42"/>
      <x:c r="G250" s="42"/>
      <x:c r="H250" s="42" t="str">
        <x:f>IF(OR(F250="",G250=""),"",F250-G250)</x:f>
      </x:c>
      <x:c r="K250" s="40"/>
      <x:c r="L250" s="42"/>
    </x:row>
    <x:row r="251">
      <x:c r="E251" s="42"/>
      <x:c r="F251" s="42"/>
      <x:c r="G251" s="42"/>
      <x:c r="H251" s="42" t="str">
        <x:f>IF(OR(F251="",G251=""),"",F251-G251)</x:f>
      </x:c>
      <x:c r="K251" s="40"/>
      <x:c r="L251" s="42"/>
    </x:row>
    <x:row r="252">
      <x:c r="E252" s="42"/>
      <x:c r="F252" s="42"/>
      <x:c r="G252" s="42"/>
      <x:c r="H252" s="42" t="str">
        <x:f>IF(OR(F252="",G252=""),"",F252-G252)</x:f>
      </x:c>
      <x:c r="K252" s="40"/>
      <x:c r="L252" s="42"/>
    </x:row>
    <x:row r="253">
      <x:c r="E253" s="42"/>
      <x:c r="F253" s="42"/>
      <x:c r="G253" s="42"/>
      <x:c r="H253" s="42" t="str">
        <x:f>IF(OR(F253="",G253=""),"",F253-G253)</x:f>
      </x:c>
      <x:c r="K253" s="40"/>
      <x:c r="L253" s="42"/>
    </x:row>
    <x:row r="254">
      <x:c r="E254" s="42"/>
      <x:c r="F254" s="42"/>
      <x:c r="G254" s="42"/>
      <x:c r="H254" s="42" t="str">
        <x:f>IF(OR(F254="",G254=""),"",F254-G254)</x:f>
      </x:c>
      <x:c r="K254" s="40"/>
      <x:c r="L254" s="42"/>
    </x:row>
    <x:row r="255">
      <x:c r="E255" s="42"/>
      <x:c r="F255" s="42"/>
      <x:c r="G255" s="42"/>
      <x:c r="H255" s="42" t="str">
        <x:f>IF(OR(F255="",G255=""),"",F255-G255)</x:f>
      </x:c>
      <x:c r="K255" s="40"/>
      <x:c r="L255" s="42"/>
    </x:row>
    <x:row r="256">
      <x:c r="E256" s="42"/>
      <x:c r="F256" s="42"/>
      <x:c r="G256" s="42"/>
      <x:c r="H256" s="42" t="str">
        <x:f>IF(OR(F256="",G256=""),"",F256-G256)</x:f>
      </x:c>
      <x:c r="K256" s="40"/>
      <x:c r="L256" s="42"/>
    </x:row>
    <x:row r="257">
      <x:c r="E257" s="42"/>
      <x:c r="F257" s="42"/>
      <x:c r="G257" s="42"/>
      <x:c r="H257" s="42" t="str">
        <x:f>IF(OR(F257="",G257=""),"",F257-G257)</x:f>
      </x:c>
      <x:c r="K257" s="40"/>
      <x:c r="L257" s="42"/>
    </x:row>
    <x:row r="258">
      <x:c r="E258" s="42"/>
      <x:c r="F258" s="42"/>
      <x:c r="G258" s="42"/>
      <x:c r="H258" s="42" t="str">
        <x:f>IF(OR(F258="",G258=""),"",F258-G258)</x:f>
      </x:c>
      <x:c r="K258" s="40"/>
      <x:c r="L258" s="42"/>
    </x:row>
    <x:row r="259">
      <x:c r="E259" s="42"/>
      <x:c r="F259" s="42"/>
      <x:c r="G259" s="42"/>
      <x:c r="H259" s="42" t="str">
        <x:f>IF(OR(F259="",G259=""),"",F259-G259)</x:f>
      </x:c>
      <x:c r="K259" s="40"/>
      <x:c r="L259" s="42"/>
    </x:row>
    <x:row r="260">
      <x:c r="E260" s="42"/>
      <x:c r="F260" s="42"/>
      <x:c r="G260" s="42"/>
      <x:c r="H260" s="42" t="str">
        <x:f>IF(OR(F260="",G260=""),"",F260-G260)</x:f>
      </x:c>
      <x:c r="K260" s="40"/>
      <x:c r="L260" s="42"/>
    </x:row>
    <x:row r="261">
      <x:c r="E261" s="42"/>
      <x:c r="F261" s="42"/>
      <x:c r="G261" s="42"/>
      <x:c r="H261" s="42" t="str">
        <x:f>IF(OR(F261="",G261=""),"",F261-G261)</x:f>
      </x:c>
      <x:c r="K261" s="40"/>
      <x:c r="L261" s="42"/>
    </x:row>
    <x:row r="262">
      <x:c r="E262" s="42"/>
      <x:c r="F262" s="42"/>
      <x:c r="G262" s="42"/>
      <x:c r="H262" s="42" t="str">
        <x:f>IF(OR(F262="",G262=""),"",F262-G262)</x:f>
      </x:c>
      <x:c r="K262" s="40"/>
      <x:c r="L262" s="42"/>
    </x:row>
    <x:row r="263">
      <x:c r="E263" s="42"/>
      <x:c r="F263" s="42"/>
      <x:c r="G263" s="42"/>
      <x:c r="H263" s="42" t="str">
        <x:f>IF(OR(F263="",G263=""),"",F263-G263)</x:f>
      </x:c>
      <x:c r="K263" s="40"/>
      <x:c r="L263" s="42"/>
    </x:row>
    <x:row r="264">
      <x:c r="E264" s="42"/>
      <x:c r="F264" s="42"/>
      <x:c r="G264" s="42"/>
      <x:c r="H264" s="42" t="str">
        <x:f>IF(OR(F264="",G264=""),"",F264-G264)</x:f>
      </x:c>
      <x:c r="K264" s="40"/>
      <x:c r="L264" s="42"/>
    </x:row>
    <x:row r="265">
      <x:c r="E265" s="42"/>
      <x:c r="F265" s="42"/>
      <x:c r="G265" s="42"/>
      <x:c r="H265" s="42" t="str">
        <x:f>IF(OR(F265="",G265=""),"",F265-G265)</x:f>
      </x:c>
      <x:c r="K265" s="40"/>
      <x:c r="L265" s="42"/>
    </x:row>
    <x:row r="266">
      <x:c r="E266" s="42"/>
      <x:c r="F266" s="42"/>
      <x:c r="G266" s="42"/>
      <x:c r="H266" s="42" t="str">
        <x:f>IF(OR(F266="",G266=""),"",F266-G266)</x:f>
      </x:c>
      <x:c r="K266" s="40"/>
      <x:c r="L266" s="42"/>
    </x:row>
    <x:row r="267">
      <x:c r="E267" s="42"/>
      <x:c r="F267" s="42"/>
      <x:c r="G267" s="42"/>
      <x:c r="H267" s="42" t="str">
        <x:f>IF(OR(F267="",G267=""),"",F267-G267)</x:f>
      </x:c>
      <x:c r="K267" s="40"/>
      <x:c r="L267" s="42"/>
    </x:row>
    <x:row r="268">
      <x:c r="E268" s="42"/>
      <x:c r="F268" s="42"/>
      <x:c r="G268" s="42"/>
      <x:c r="H268" s="42" t="str">
        <x:f>IF(OR(F268="",G268=""),"",F268-G268)</x:f>
      </x:c>
      <x:c r="K268" s="40"/>
      <x:c r="L268" s="42"/>
    </x:row>
    <x:row r="269">
      <x:c r="E269" s="42"/>
      <x:c r="F269" s="42"/>
      <x:c r="G269" s="42"/>
      <x:c r="H269" s="42" t="str">
        <x:f>IF(OR(F269="",G269=""),"",F269-G269)</x:f>
      </x:c>
      <x:c r="K269" s="40"/>
      <x:c r="L269" s="42"/>
    </x:row>
    <x:row r="270">
      <x:c r="E270" s="42"/>
      <x:c r="F270" s="42"/>
      <x:c r="G270" s="42"/>
      <x:c r="H270" s="42" t="str">
        <x:f>IF(OR(F270="",G270=""),"",F270-G270)</x:f>
      </x:c>
      <x:c r="K270" s="40"/>
      <x:c r="L270" s="42"/>
    </x:row>
    <x:row r="271">
      <x:c r="E271" s="42"/>
      <x:c r="F271" s="42"/>
      <x:c r="G271" s="42"/>
      <x:c r="H271" s="42" t="str">
        <x:f>IF(OR(F271="",G271=""),"",F271-G271)</x:f>
      </x:c>
      <x:c r="K271" s="40"/>
      <x:c r="L271" s="42"/>
    </x:row>
    <x:row r="272">
      <x:c r="E272" s="42"/>
      <x:c r="F272" s="42"/>
      <x:c r="G272" s="42"/>
      <x:c r="H272" s="42" t="str">
        <x:f>IF(OR(F272="",G272=""),"",F272-G272)</x:f>
      </x:c>
      <x:c r="K272" s="40"/>
      <x:c r="L272" s="42"/>
    </x:row>
    <x:row r="273">
      <x:c r="E273" s="42"/>
      <x:c r="F273" s="42"/>
      <x:c r="G273" s="42"/>
      <x:c r="H273" s="42" t="str">
        <x:f>IF(OR(F273="",G273=""),"",F273-G273)</x:f>
      </x:c>
      <x:c r="K273" s="40"/>
      <x:c r="L273" s="42"/>
    </x:row>
    <x:row r="274">
      <x:c r="E274" s="42"/>
      <x:c r="F274" s="42"/>
      <x:c r="G274" s="42"/>
      <x:c r="H274" s="42" t="str">
        <x:f>IF(OR(F274="",G274=""),"",F274-G274)</x:f>
      </x:c>
      <x:c r="K274" s="40"/>
      <x:c r="L274" s="42"/>
    </x:row>
    <x:row r="275">
      <x:c r="E275" s="42"/>
      <x:c r="F275" s="42"/>
      <x:c r="G275" s="42"/>
      <x:c r="H275" s="42" t="str">
        <x:f>IF(OR(F275="",G275=""),"",F275-G275)</x:f>
      </x:c>
      <x:c r="K275" s="40"/>
      <x:c r="L275" s="42"/>
    </x:row>
    <x:row r="276">
      <x:c r="E276" s="42"/>
      <x:c r="F276" s="42"/>
      <x:c r="G276" s="42"/>
      <x:c r="H276" s="42" t="str">
        <x:f>IF(OR(F276="",G276=""),"",F276-G276)</x:f>
      </x:c>
      <x:c r="K276" s="40"/>
      <x:c r="L276" s="42"/>
    </x:row>
    <x:row r="277">
      <x:c r="E277" s="42"/>
      <x:c r="F277" s="42"/>
      <x:c r="G277" s="42"/>
      <x:c r="H277" s="42" t="str">
        <x:f>IF(OR(F277="",G277=""),"",F277-G277)</x:f>
      </x:c>
      <x:c r="K277" s="40"/>
      <x:c r="L277" s="42"/>
    </x:row>
    <x:row r="278">
      <x:c r="E278" s="42"/>
      <x:c r="F278" s="42"/>
      <x:c r="G278" s="42"/>
      <x:c r="H278" s="42" t="str">
        <x:f>IF(OR(F278="",G278=""),"",F278-G278)</x:f>
      </x:c>
      <x:c r="K278" s="40"/>
      <x:c r="L278" s="42"/>
    </x:row>
    <x:row r="279">
      <x:c r="E279" s="42"/>
      <x:c r="F279" s="42"/>
      <x:c r="G279" s="42"/>
      <x:c r="H279" s="42" t="str">
        <x:f>IF(OR(F279="",G279=""),"",F279-G279)</x:f>
      </x:c>
      <x:c r="K279" s="40"/>
      <x:c r="L279" s="42"/>
    </x:row>
    <x:row r="280">
      <x:c r="E280" s="42"/>
      <x:c r="F280" s="42"/>
      <x:c r="G280" s="42"/>
      <x:c r="H280" s="42" t="str">
        <x:f>IF(OR(F280="",G280=""),"",F280-G280)</x:f>
      </x:c>
      <x:c r="K280" s="40"/>
      <x:c r="L280" s="42"/>
    </x:row>
    <x:row r="281">
      <x:c r="E281" s="42"/>
      <x:c r="F281" s="42"/>
      <x:c r="G281" s="42"/>
      <x:c r="H281" s="42" t="str">
        <x:f>IF(OR(F281="",G281=""),"",F281-G281)</x:f>
      </x:c>
      <x:c r="K281" s="40"/>
      <x:c r="L281" s="42"/>
    </x:row>
    <x:row r="282">
      <x:c r="E282" s="42"/>
      <x:c r="F282" s="42"/>
      <x:c r="G282" s="42"/>
      <x:c r="H282" s="42" t="str">
        <x:f>IF(OR(F282="",G282=""),"",F282-G282)</x:f>
      </x:c>
      <x:c r="K282" s="40"/>
      <x:c r="L282" s="42"/>
    </x:row>
    <x:row r="283">
      <x:c r="E283" s="42"/>
      <x:c r="F283" s="42"/>
      <x:c r="G283" s="42"/>
      <x:c r="H283" s="42" t="str">
        <x:f>IF(OR(F283="",G283=""),"",F283-G283)</x:f>
      </x:c>
      <x:c r="K283" s="40"/>
      <x:c r="L283" s="42"/>
    </x:row>
    <x:row r="284">
      <x:c r="E284" s="42"/>
      <x:c r="F284" s="42"/>
      <x:c r="G284" s="42"/>
      <x:c r="H284" s="42" t="str">
        <x:f>IF(OR(F284="",G284=""),"",F284-G284)</x:f>
      </x:c>
      <x:c r="K284" s="40"/>
      <x:c r="L284" s="42"/>
    </x:row>
    <x:row r="285">
      <x:c r="E285" s="42"/>
      <x:c r="F285" s="42"/>
      <x:c r="G285" s="42"/>
      <x:c r="H285" s="42" t="str">
        <x:f>IF(OR(F285="",G285=""),"",F285-G285)</x:f>
      </x:c>
      <x:c r="K285" s="40"/>
      <x:c r="L285" s="42"/>
    </x:row>
    <x:row r="286">
      <x:c r="E286" s="42"/>
      <x:c r="F286" s="42"/>
      <x:c r="G286" s="42"/>
      <x:c r="H286" s="42" t="str">
        <x:f>IF(OR(F286="",G286=""),"",F286-G286)</x:f>
      </x:c>
      <x:c r="K286" s="40"/>
      <x:c r="L286" s="42"/>
    </x:row>
    <x:row r="287">
      <x:c r="E287" s="42"/>
      <x:c r="F287" s="42"/>
      <x:c r="G287" s="42"/>
      <x:c r="H287" s="42" t="str">
        <x:f>IF(OR(F287="",G287=""),"",F287-G287)</x:f>
      </x:c>
      <x:c r="K287" s="40"/>
      <x:c r="L287" s="42"/>
    </x:row>
    <x:row r="288">
      <x:c r="E288" s="42"/>
      <x:c r="F288" s="42"/>
      <x:c r="G288" s="42"/>
      <x:c r="H288" s="42" t="str">
        <x:f>IF(OR(F288="",G288=""),"",F288-G288)</x:f>
      </x:c>
      <x:c r="K288" s="40"/>
      <x:c r="L288" s="42"/>
    </x:row>
    <x:row r="289">
      <x:c r="E289" s="42"/>
      <x:c r="F289" s="42"/>
      <x:c r="G289" s="42"/>
      <x:c r="H289" s="42" t="str">
        <x:f>IF(OR(F289="",G289=""),"",F289-G289)</x:f>
      </x:c>
      <x:c r="K289" s="40"/>
      <x:c r="L289" s="42"/>
    </x:row>
    <x:row r="290">
      <x:c r="E290" s="42"/>
      <x:c r="F290" s="42"/>
      <x:c r="G290" s="42"/>
      <x:c r="H290" s="42" t="str">
        <x:f>IF(OR(F290="",G290=""),"",F290-G290)</x:f>
      </x:c>
      <x:c r="K290" s="40"/>
      <x:c r="L290" s="42"/>
    </x:row>
    <x:row r="291">
      <x:c r="E291" s="42"/>
      <x:c r="F291" s="42"/>
      <x:c r="G291" s="42"/>
      <x:c r="H291" s="42" t="str">
        <x:f>IF(OR(F291="",G291=""),"",F291-G291)</x:f>
      </x:c>
      <x:c r="K291" s="40"/>
      <x:c r="L291" s="42"/>
    </x:row>
    <x:row r="292">
      <x:c r="E292" s="42"/>
      <x:c r="F292" s="42"/>
      <x:c r="G292" s="42"/>
      <x:c r="H292" s="42" t="str">
        <x:f>IF(OR(F292="",G292=""),"",F292-G292)</x:f>
      </x:c>
      <x:c r="K292" s="40"/>
      <x:c r="L292" s="42"/>
    </x:row>
    <x:row r="293">
      <x:c r="E293" s="42"/>
      <x:c r="F293" s="42"/>
      <x:c r="G293" s="42"/>
      <x:c r="H293" s="42" t="str">
        <x:f>IF(OR(F293="",G293=""),"",F293-G293)</x:f>
      </x:c>
      <x:c r="K293" s="40"/>
      <x:c r="L293" s="42"/>
    </x:row>
    <x:row r="294">
      <x:c r="E294" s="42"/>
      <x:c r="F294" s="42"/>
      <x:c r="G294" s="42"/>
      <x:c r="H294" s="42" t="str">
        <x:f>IF(OR(F294="",G294=""),"",F294-G294)</x:f>
      </x:c>
      <x:c r="K294" s="40"/>
      <x:c r="L294" s="42"/>
    </x:row>
    <x:row r="295">
      <x:c r="E295" s="42"/>
      <x:c r="F295" s="42"/>
      <x:c r="G295" s="42"/>
      <x:c r="H295" s="42" t="str">
        <x:f>IF(OR(F295="",G295=""),"",F295-G295)</x:f>
      </x:c>
      <x:c r="K295" s="40"/>
      <x:c r="L295" s="42"/>
    </x:row>
    <x:row r="296">
      <x:c r="E296" s="42"/>
      <x:c r="F296" s="42"/>
      <x:c r="G296" s="42"/>
      <x:c r="H296" s="42" t="str">
        <x:f>IF(OR(F296="",G296=""),"",F296-G296)</x:f>
      </x:c>
      <x:c r="K296" s="40"/>
      <x:c r="L296" s="42"/>
    </x:row>
    <x:row r="297">
      <x:c r="E297" s="42"/>
      <x:c r="F297" s="42"/>
      <x:c r="G297" s="42"/>
      <x:c r="H297" s="42" t="str">
        <x:f>IF(OR(F297="",G297=""),"",F297-G297)</x:f>
      </x:c>
      <x:c r="K297" s="40"/>
      <x:c r="L297" s="42"/>
    </x:row>
    <x:row r="298">
      <x:c r="E298" s="42"/>
      <x:c r="F298" s="42"/>
      <x:c r="G298" s="42"/>
      <x:c r="H298" s="42" t="str">
        <x:f>IF(OR(F298="",G298=""),"",F298-G298)</x:f>
      </x:c>
      <x:c r="K298" s="40"/>
      <x:c r="L298" s="42"/>
    </x:row>
    <x:row r="299">
      <x:c r="E299" s="42"/>
      <x:c r="F299" s="42"/>
      <x:c r="G299" s="42"/>
      <x:c r="H299" s="42" t="str">
        <x:f>IF(OR(F299="",G299=""),"",F299-G299)</x:f>
      </x:c>
      <x:c r="K299" s="40"/>
      <x:c r="L299" s="42"/>
    </x:row>
    <x:row r="300">
      <x:c r="E300" s="42"/>
      <x:c r="F300" s="42"/>
      <x:c r="G300" s="42"/>
      <x:c r="H300" s="42" t="str">
        <x:f>IF(OR(F300="",G300=""),"",F300-G300)</x:f>
      </x:c>
      <x:c r="K300" s="40"/>
      <x:c r="L300" s="42"/>
    </x:row>
    <x:row r="301">
      <x:c r="E301" s="42"/>
      <x:c r="F301" s="42"/>
      <x:c r="G301" s="42"/>
      <x:c r="H301" s="42" t="str">
        <x:f>IF(OR(F301="",G301=""),"",F301-G301)</x:f>
      </x:c>
      <x:c r="K301" s="40"/>
      <x:c r="L301" s="42"/>
    </x:row>
    <x:row r="302">
      <x:c r="E302" s="42"/>
      <x:c r="F302" s="42"/>
      <x:c r="G302" s="42"/>
      <x:c r="H302" s="42" t="str">
        <x:f>IF(OR(F302="",G302=""),"",F302-G302)</x:f>
      </x:c>
      <x:c r="K302" s="40"/>
      <x:c r="L302" s="42"/>
    </x:row>
    <x:row r="303">
      <x:c r="E303" s="42"/>
      <x:c r="F303" s="42"/>
      <x:c r="G303" s="42"/>
      <x:c r="H303" s="42" t="str">
        <x:f>IF(OR(F303="",G303=""),"",F303-G303)</x:f>
      </x:c>
      <x:c r="K303" s="40"/>
      <x:c r="L303" s="42"/>
    </x:row>
    <x:row r="304">
      <x:c r="E304" s="42"/>
      <x:c r="F304" s="42"/>
      <x:c r="G304" s="42"/>
      <x:c r="H304" s="42" t="str">
        <x:f>IF(OR(F304="",G304=""),"",F304-G304)</x:f>
      </x:c>
      <x:c r="K304" s="40"/>
      <x:c r="L304" s="42"/>
    </x:row>
    <x:row r="305">
      <x:c r="E305" s="42"/>
      <x:c r="F305" s="42"/>
      <x:c r="G305" s="42"/>
      <x:c r="H305" s="42" t="str">
        <x:f>IF(OR(F305="",G305=""),"",F305-G305)</x:f>
      </x:c>
      <x:c r="K305" s="40"/>
      <x:c r="L305" s="42"/>
    </x:row>
    <x:row r="306">
      <x:c r="E306" s="42"/>
      <x:c r="F306" s="42"/>
      <x:c r="G306" s="42"/>
      <x:c r="H306" s="42" t="str">
        <x:f>IF(OR(F306="",G306=""),"",F306-G306)</x:f>
      </x:c>
      <x:c r="K306" s="40"/>
      <x:c r="L306" s="42"/>
    </x:row>
    <x:row r="307">
      <x:c r="E307" s="42"/>
      <x:c r="F307" s="42"/>
      <x:c r="G307" s="42"/>
      <x:c r="H307" s="42" t="str">
        <x:f>IF(OR(F307="",G307=""),"",F307-G307)</x:f>
      </x:c>
      <x:c r="K307" s="40"/>
      <x:c r="L307" s="42"/>
    </x:row>
    <x:row r="308">
      <x:c r="E308" s="42"/>
      <x:c r="F308" s="42"/>
      <x:c r="G308" s="42"/>
      <x:c r="H308" s="42" t="str">
        <x:f>IF(OR(F308="",G308=""),"",F308-G308)</x:f>
      </x:c>
      <x:c r="K308" s="40"/>
      <x:c r="L308" s="42"/>
    </x:row>
    <x:row r="309">
      <x:c r="E309" s="42"/>
      <x:c r="F309" s="42"/>
      <x:c r="G309" s="42"/>
      <x:c r="H309" s="42" t="str">
        <x:f>IF(OR(F309="",G309=""),"",F309-G309)</x:f>
      </x:c>
      <x:c r="K309" s="40"/>
      <x:c r="L309" s="42"/>
    </x:row>
    <x:row r="310">
      <x:c r="E310" s="42"/>
      <x:c r="F310" s="42"/>
      <x:c r="G310" s="42"/>
      <x:c r="H310" s="42" t="str">
        <x:f>IF(OR(F310="",G310=""),"",F310-G310)</x:f>
      </x:c>
      <x:c r="K310" s="40"/>
      <x:c r="L310" s="42"/>
    </x:row>
    <x:row r="311">
      <x:c r="E311" s="42"/>
      <x:c r="F311" s="42"/>
      <x:c r="G311" s="42"/>
      <x:c r="H311" s="42" t="str">
        <x:f>IF(OR(F311="",G311=""),"",F311-G311)</x:f>
      </x:c>
      <x:c r="K311" s="40"/>
      <x:c r="L311" s="42"/>
    </x:row>
    <x:row r="312">
      <x:c r="E312" s="42"/>
      <x:c r="F312" s="42"/>
      <x:c r="G312" s="42"/>
      <x:c r="H312" s="42" t="str">
        <x:f>IF(OR(F312="",G312=""),"",F312-G312)</x:f>
      </x:c>
      <x:c r="K312" s="40"/>
      <x:c r="L312" s="42"/>
    </x:row>
    <x:row r="313">
      <x:c r="E313" s="42"/>
      <x:c r="F313" s="42"/>
      <x:c r="G313" s="42"/>
      <x:c r="H313" s="42" t="str">
        <x:f>IF(OR(F313="",G313=""),"",F313-G313)</x:f>
      </x:c>
      <x:c r="K313" s="40"/>
      <x:c r="L313" s="42"/>
    </x:row>
    <x:row r="314">
      <x:c r="E314" s="42"/>
      <x:c r="F314" s="42"/>
      <x:c r="G314" s="42"/>
      <x:c r="H314" s="42" t="str">
        <x:f>IF(OR(F314="",G314=""),"",F314-G314)</x:f>
      </x:c>
      <x:c r="K314" s="40"/>
      <x:c r="L314" s="42"/>
    </x:row>
    <x:row r="315">
      <x:c r="E315" s="42"/>
      <x:c r="F315" s="42"/>
      <x:c r="G315" s="42"/>
      <x:c r="H315" s="42" t="str">
        <x:f>IF(OR(F315="",G315=""),"",F315-G315)</x:f>
      </x:c>
      <x:c r="K315" s="40"/>
      <x:c r="L315" s="42"/>
    </x:row>
    <x:row r="316">
      <x:c r="E316" s="42"/>
      <x:c r="F316" s="42"/>
      <x:c r="G316" s="42"/>
      <x:c r="H316" s="42" t="str">
        <x:f>IF(OR(F316="",G316=""),"",F316-G316)</x:f>
      </x:c>
      <x:c r="K316" s="40"/>
      <x:c r="L316" s="42"/>
    </x:row>
    <x:row r="317">
      <x:c r="E317" s="42"/>
      <x:c r="F317" s="42"/>
      <x:c r="G317" s="42"/>
      <x:c r="H317" s="42" t="str">
        <x:f>IF(OR(F317="",G317=""),"",F317-G317)</x:f>
      </x:c>
      <x:c r="K317" s="40"/>
      <x:c r="L317" s="42"/>
    </x:row>
    <x:row r="318">
      <x:c r="E318" s="42"/>
      <x:c r="F318" s="42"/>
      <x:c r="G318" s="42"/>
      <x:c r="H318" s="42" t="str">
        <x:f>IF(OR(F318="",G318=""),"",F318-G318)</x:f>
      </x:c>
      <x:c r="K318" s="40"/>
      <x:c r="L318" s="42"/>
    </x:row>
    <x:row r="319">
      <x:c r="E319" s="42"/>
      <x:c r="F319" s="42"/>
      <x:c r="G319" s="42"/>
      <x:c r="H319" s="42" t="str">
        <x:f>IF(OR(F319="",G319=""),"",F319-G319)</x:f>
      </x:c>
      <x:c r="K319" s="40"/>
      <x:c r="L319" s="42"/>
    </x:row>
    <x:row r="320">
      <x:c r="E320" s="42"/>
      <x:c r="F320" s="42"/>
      <x:c r="G320" s="42"/>
      <x:c r="H320" s="42" t="str">
        <x:f>IF(OR(F320="",G320=""),"",F320-G320)</x:f>
      </x:c>
      <x:c r="K320" s="40"/>
      <x:c r="L320" s="42"/>
    </x:row>
    <x:row r="321">
      <x:c r="E321" s="42"/>
      <x:c r="F321" s="42"/>
      <x:c r="G321" s="42"/>
      <x:c r="H321" s="42" t="str">
        <x:f>IF(OR(F321="",G321=""),"",F321-G321)</x:f>
      </x:c>
      <x:c r="K321" s="40"/>
      <x:c r="L321" s="42"/>
    </x:row>
    <x:row r="322">
      <x:c r="E322" s="42"/>
      <x:c r="F322" s="42"/>
      <x:c r="G322" s="42"/>
      <x:c r="H322" s="42" t="str">
        <x:f>IF(OR(F322="",G322=""),"",F322-G322)</x:f>
      </x:c>
      <x:c r="K322" s="40"/>
      <x:c r="L322" s="42"/>
    </x:row>
    <x:row r="323">
      <x:c r="E323" s="42"/>
      <x:c r="F323" s="42"/>
      <x:c r="G323" s="42"/>
      <x:c r="H323" s="42" t="str">
        <x:f>IF(OR(F323="",G323=""),"",F323-G323)</x:f>
      </x:c>
      <x:c r="K323" s="40"/>
      <x:c r="L323" s="42"/>
    </x:row>
    <x:row r="324">
      <x:c r="E324" s="42"/>
      <x:c r="F324" s="42"/>
      <x:c r="G324" s="42"/>
      <x:c r="H324" s="42" t="str">
        <x:f>IF(OR(F324="",G324=""),"",F324-G324)</x:f>
      </x:c>
      <x:c r="K324" s="40"/>
      <x:c r="L324" s="42"/>
    </x:row>
    <x:row r="325">
      <x:c r="E325" s="42"/>
      <x:c r="F325" s="42"/>
      <x:c r="G325" s="42"/>
      <x:c r="H325" s="42" t="str">
        <x:f>IF(OR(F325="",G325=""),"",F325-G325)</x:f>
      </x:c>
      <x:c r="K325" s="40"/>
      <x:c r="L325" s="42"/>
    </x:row>
    <x:row r="326">
      <x:c r="E326" s="42"/>
      <x:c r="F326" s="42"/>
      <x:c r="G326" s="42"/>
      <x:c r="H326" s="42" t="str">
        <x:f>IF(OR(F326="",G326=""),"",F326-G326)</x:f>
      </x:c>
      <x:c r="K326" s="40"/>
      <x:c r="L326" s="42"/>
    </x:row>
    <x:row r="327">
      <x:c r="E327" s="42"/>
      <x:c r="F327" s="42"/>
      <x:c r="G327" s="42"/>
      <x:c r="H327" s="42" t="str">
        <x:f>IF(OR(F327="",G327=""),"",F327-G327)</x:f>
      </x:c>
      <x:c r="K327" s="40"/>
      <x:c r="L327" s="42"/>
    </x:row>
    <x:row r="328">
      <x:c r="E328" s="42"/>
      <x:c r="F328" s="42"/>
      <x:c r="G328" s="42"/>
      <x:c r="H328" s="42" t="str">
        <x:f>IF(OR(F328="",G328=""),"",F328-G328)</x:f>
      </x:c>
      <x:c r="K328" s="40"/>
      <x:c r="L328" s="42"/>
    </x:row>
    <x:row r="329">
      <x:c r="E329" s="42"/>
      <x:c r="F329" s="42"/>
      <x:c r="G329" s="42"/>
      <x:c r="H329" s="42" t="str">
        <x:f>IF(OR(F329="",G329=""),"",F329-G329)</x:f>
      </x:c>
      <x:c r="K329" s="40"/>
      <x:c r="L329" s="42"/>
    </x:row>
    <x:row r="330">
      <x:c r="E330" s="42"/>
      <x:c r="F330" s="42"/>
      <x:c r="G330" s="42"/>
      <x:c r="H330" s="42" t="str">
        <x:f>IF(OR(F330="",G330=""),"",F330-G330)</x:f>
      </x:c>
      <x:c r="K330" s="40"/>
      <x:c r="L330" s="42"/>
    </x:row>
    <x:row r="331">
      <x:c r="E331" s="42"/>
      <x:c r="F331" s="42"/>
      <x:c r="G331" s="42"/>
      <x:c r="H331" s="42" t="str">
        <x:f>IF(OR(F331="",G331=""),"",F331-G331)</x:f>
      </x:c>
      <x:c r="K331" s="40"/>
      <x:c r="L331" s="42"/>
    </x:row>
    <x:row r="332">
      <x:c r="E332" s="42"/>
      <x:c r="F332" s="42"/>
      <x:c r="G332" s="42"/>
      <x:c r="H332" s="42" t="str">
        <x:f>IF(OR(F332="",G332=""),"",F332-G332)</x:f>
      </x:c>
      <x:c r="K332" s="40"/>
      <x:c r="L332" s="42"/>
    </x:row>
    <x:row r="333">
      <x:c r="E333" s="42"/>
      <x:c r="F333" s="42"/>
      <x:c r="G333" s="42"/>
      <x:c r="H333" s="42" t="str">
        <x:f>IF(OR(F333="",G333=""),"",F333-G333)</x:f>
      </x:c>
      <x:c r="K333" s="40"/>
      <x:c r="L333" s="42"/>
    </x:row>
    <x:row r="334">
      <x:c r="E334" s="42"/>
      <x:c r="F334" s="42"/>
      <x:c r="G334" s="42"/>
      <x:c r="H334" s="42" t="str">
        <x:f>IF(OR(F334="",G334=""),"",F334-G334)</x:f>
      </x:c>
      <x:c r="K334" s="40"/>
      <x:c r="L334" s="42"/>
    </x:row>
    <x:row r="335">
      <x:c r="E335" s="42"/>
      <x:c r="F335" s="42"/>
      <x:c r="G335" s="42"/>
      <x:c r="H335" s="42" t="str">
        <x:f>IF(OR(F335="",G335=""),"",F335-G335)</x:f>
      </x:c>
      <x:c r="K335" s="40"/>
      <x:c r="L335" s="42"/>
    </x:row>
    <x:row r="336">
      <x:c r="E336" s="42"/>
      <x:c r="F336" s="42"/>
      <x:c r="G336" s="42"/>
      <x:c r="H336" s="42" t="str">
        <x:f>IF(OR(F336="",G336=""),"",F336-G336)</x:f>
      </x:c>
      <x:c r="K336" s="40"/>
      <x:c r="L336" s="42"/>
    </x:row>
    <x:row r="337">
      <x:c r="E337" s="42"/>
      <x:c r="F337" s="42"/>
      <x:c r="G337" s="42"/>
      <x:c r="H337" s="42" t="str">
        <x:f>IF(OR(F337="",G337=""),"",F337-G337)</x:f>
      </x:c>
      <x:c r="K337" s="40"/>
      <x:c r="L337" s="42"/>
    </x:row>
    <x:row r="338">
      <x:c r="E338" s="42"/>
      <x:c r="F338" s="42"/>
      <x:c r="G338" s="42"/>
      <x:c r="H338" s="42" t="str">
        <x:f>IF(OR(F338="",G338=""),"",F338-G338)</x:f>
      </x:c>
      <x:c r="K338" s="40"/>
      <x:c r="L338" s="42"/>
    </x:row>
    <x:row r="339">
      <x:c r="E339" s="42"/>
      <x:c r="F339" s="42"/>
      <x:c r="G339" s="42"/>
      <x:c r="H339" s="42" t="str">
        <x:f>IF(OR(F339="",G339=""),"",F339-G339)</x:f>
      </x:c>
      <x:c r="K339" s="40"/>
      <x:c r="L339" s="42"/>
    </x:row>
    <x:row r="340">
      <x:c r="E340" s="42"/>
      <x:c r="F340" s="42"/>
      <x:c r="G340" s="42"/>
      <x:c r="H340" s="42" t="str">
        <x:f>IF(OR(F340="",G340=""),"",F340-G340)</x:f>
      </x:c>
      <x:c r="K340" s="40"/>
      <x:c r="L340" s="42"/>
    </x:row>
    <x:row r="341">
      <x:c r="E341" s="42"/>
      <x:c r="F341" s="42"/>
      <x:c r="G341" s="42"/>
      <x:c r="H341" s="42" t="str">
        <x:f>IF(OR(F341="",G341=""),"",F341-G341)</x:f>
      </x:c>
      <x:c r="K341" s="40"/>
      <x:c r="L341" s="42"/>
    </x:row>
    <x:row r="342">
      <x:c r="E342" s="42"/>
      <x:c r="F342" s="42"/>
      <x:c r="G342" s="42"/>
      <x:c r="H342" s="42" t="str">
        <x:f>IF(OR(F342="",G342=""),"",F342-G342)</x:f>
      </x:c>
      <x:c r="K342" s="40"/>
      <x:c r="L342" s="42"/>
    </x:row>
    <x:row r="343">
      <x:c r="E343" s="42"/>
      <x:c r="F343" s="42"/>
      <x:c r="G343" s="42"/>
      <x:c r="H343" s="42" t="str">
        <x:f>IF(OR(F343="",G343=""),"",F343-G343)</x:f>
      </x:c>
      <x:c r="K343" s="40"/>
      <x:c r="L343" s="42"/>
    </x:row>
    <x:row r="344">
      <x:c r="E344" s="42"/>
      <x:c r="F344" s="42"/>
      <x:c r="G344" s="42"/>
      <x:c r="H344" s="42" t="str">
        <x:f>IF(OR(F344="",G344=""),"",F344-G344)</x:f>
      </x:c>
      <x:c r="K344" s="40"/>
      <x:c r="L344" s="42"/>
    </x:row>
    <x:row r="345">
      <x:c r="E345" s="42"/>
      <x:c r="F345" s="42"/>
      <x:c r="G345" s="42"/>
      <x:c r="H345" s="42" t="str">
        <x:f>IF(OR(F345="",G345=""),"",F345-G345)</x:f>
      </x:c>
      <x:c r="K345" s="40"/>
      <x:c r="L345" s="42"/>
    </x:row>
    <x:row r="346">
      <x:c r="E346" s="42"/>
      <x:c r="F346" s="42"/>
      <x:c r="G346" s="42"/>
      <x:c r="H346" s="42" t="str">
        <x:f>IF(OR(F346="",G346=""),"",F346-G346)</x:f>
      </x:c>
      <x:c r="K346" s="40"/>
      <x:c r="L346" s="42"/>
    </x:row>
    <x:row r="347">
      <x:c r="E347" s="42"/>
      <x:c r="F347" s="42"/>
      <x:c r="G347" s="42"/>
      <x:c r="H347" s="42" t="str">
        <x:f>IF(OR(F347="",G347=""),"",F347-G347)</x:f>
      </x:c>
      <x:c r="K347" s="40"/>
      <x:c r="L347" s="42"/>
    </x:row>
    <x:row r="348">
      <x:c r="E348" s="42"/>
      <x:c r="F348" s="42"/>
      <x:c r="G348" s="42"/>
      <x:c r="H348" s="42" t="str">
        <x:f>IF(OR(F348="",G348=""),"",F348-G348)</x:f>
      </x:c>
      <x:c r="K348" s="40"/>
      <x:c r="L348" s="42"/>
    </x:row>
    <x:row r="349">
      <x:c r="E349" s="42"/>
      <x:c r="F349" s="42"/>
      <x:c r="G349" s="42"/>
      <x:c r="H349" s="42" t="str">
        <x:f>IF(OR(F349="",G349=""),"",F349-G349)</x:f>
      </x:c>
      <x:c r="K349" s="40"/>
      <x:c r="L349" s="42"/>
    </x:row>
    <x:row r="350">
      <x:c r="E350" s="42"/>
      <x:c r="F350" s="42"/>
      <x:c r="G350" s="42"/>
      <x:c r="H350" s="42" t="str">
        <x:f>IF(OR(F350="",G350=""),"",F350-G350)</x:f>
      </x:c>
      <x:c r="K350" s="40"/>
      <x:c r="L350" s="42"/>
    </x:row>
    <x:row r="351">
      <x:c r="E351" s="42"/>
      <x:c r="F351" s="42"/>
      <x:c r="G351" s="42"/>
      <x:c r="H351" s="42" t="str">
        <x:f>IF(OR(F351="",G351=""),"",F351-G351)</x:f>
      </x:c>
      <x:c r="K351" s="40"/>
      <x:c r="L351" s="42"/>
    </x:row>
    <x:row r="352">
      <x:c r="E352" s="42"/>
      <x:c r="F352" s="42"/>
      <x:c r="G352" s="42"/>
      <x:c r="H352" s="42" t="str">
        <x:f>IF(OR(F352="",G352=""),"",F352-G352)</x:f>
      </x:c>
      <x:c r="K352" s="40"/>
      <x:c r="L352" s="42"/>
    </x:row>
    <x:row r="353">
      <x:c r="E353" s="42"/>
      <x:c r="F353" s="42"/>
      <x:c r="G353" s="42"/>
      <x:c r="H353" s="42" t="str">
        <x:f>IF(OR(F353="",G353=""),"",F353-G353)</x:f>
      </x:c>
      <x:c r="K353" s="40"/>
      <x:c r="L353" s="42"/>
    </x:row>
    <x:row r="354">
      <x:c r="E354" s="42"/>
      <x:c r="F354" s="42"/>
      <x:c r="G354" s="42"/>
      <x:c r="H354" s="42" t="str">
        <x:f>IF(OR(F354="",G354=""),"",F354-G354)</x:f>
      </x:c>
      <x:c r="K354" s="40"/>
      <x:c r="L354" s="42"/>
    </x:row>
    <x:row r="355">
      <x:c r="E355" s="42"/>
      <x:c r="F355" s="42"/>
      <x:c r="G355" s="42"/>
      <x:c r="H355" s="42" t="str">
        <x:f>IF(OR(F355="",G355=""),"",F355-G355)</x:f>
      </x:c>
      <x:c r="K355" s="40"/>
      <x:c r="L355" s="42"/>
    </x:row>
    <x:row r="356">
      <x:c r="E356" s="42"/>
      <x:c r="F356" s="42"/>
      <x:c r="G356" s="42"/>
      <x:c r="H356" s="42" t="str">
        <x:f>IF(OR(F356="",G356=""),"",F356-G356)</x:f>
      </x:c>
      <x:c r="K356" s="40"/>
      <x:c r="L356" s="42"/>
    </x:row>
    <x:row r="357">
      <x:c r="E357" s="42"/>
      <x:c r="F357" s="42"/>
      <x:c r="G357" s="42"/>
      <x:c r="H357" s="42" t="str">
        <x:f>IF(OR(F357="",G357=""),"",F357-G357)</x:f>
      </x:c>
      <x:c r="K357" s="40"/>
      <x:c r="L357" s="42"/>
    </x:row>
    <x:row r="358">
      <x:c r="E358" s="42"/>
      <x:c r="F358" s="42"/>
      <x:c r="G358" s="42"/>
      <x:c r="H358" s="42" t="str">
        <x:f>IF(OR(F358="",G358=""),"",F358-G358)</x:f>
      </x:c>
      <x:c r="K358" s="40"/>
      <x:c r="L358" s="42"/>
    </x:row>
    <x:row r="359">
      <x:c r="E359" s="42"/>
      <x:c r="F359" s="42"/>
      <x:c r="G359" s="42"/>
      <x:c r="H359" s="42" t="str">
        <x:f>IF(OR(F359="",G359=""),"",F359-G359)</x:f>
      </x:c>
      <x:c r="K359" s="40"/>
      <x:c r="L359" s="42"/>
    </x:row>
    <x:row r="360">
      <x:c r="E360" s="42"/>
      <x:c r="F360" s="42"/>
      <x:c r="G360" s="42"/>
      <x:c r="H360" s="42" t="str">
        <x:f>IF(OR(F360="",G360=""),"",F360-G360)</x:f>
      </x:c>
      <x:c r="K360" s="40"/>
      <x:c r="L360" s="42"/>
    </x:row>
    <x:row r="361">
      <x:c r="E361" s="42"/>
      <x:c r="F361" s="42"/>
      <x:c r="G361" s="42"/>
      <x:c r="H361" s="42" t="str">
        <x:f>IF(OR(F361="",G361=""),"",F361-G361)</x:f>
      </x:c>
      <x:c r="K361" s="40"/>
      <x:c r="L361" s="42"/>
    </x:row>
    <x:row r="362">
      <x:c r="E362" s="42"/>
      <x:c r="F362" s="42"/>
      <x:c r="G362" s="42"/>
      <x:c r="H362" s="42" t="str">
        <x:f>IF(OR(F362="",G362=""),"",F362-G362)</x:f>
      </x:c>
      <x:c r="K362" s="40"/>
      <x:c r="L362" s="42"/>
    </x:row>
    <x:row r="363">
      <x:c r="E363" s="42"/>
      <x:c r="F363" s="42"/>
      <x:c r="G363" s="42"/>
      <x:c r="H363" s="42" t="str">
        <x:f>IF(OR(F363="",G363=""),"",F363-G363)</x:f>
      </x:c>
      <x:c r="K363" s="40"/>
      <x:c r="L363" s="42"/>
    </x:row>
    <x:row r="364">
      <x:c r="E364" s="42"/>
      <x:c r="F364" s="42"/>
      <x:c r="G364" s="42"/>
      <x:c r="H364" s="42" t="str">
        <x:f>IF(OR(F364="",G364=""),"",F364-G364)</x:f>
      </x:c>
      <x:c r="K364" s="40"/>
      <x:c r="L364" s="42"/>
    </x:row>
    <x:row r="365">
      <x:c r="E365" s="42"/>
      <x:c r="F365" s="42"/>
      <x:c r="G365" s="42"/>
      <x:c r="H365" s="42" t="str">
        <x:f>IF(OR(F365="",G365=""),"",F365-G365)</x:f>
      </x:c>
      <x:c r="K365" s="40"/>
      <x:c r="L365" s="42"/>
    </x:row>
    <x:row r="366">
      <x:c r="E366" s="42"/>
      <x:c r="F366" s="42"/>
      <x:c r="G366" s="42"/>
      <x:c r="H366" s="42" t="str">
        <x:f>IF(OR(F366="",G366=""),"",F366-G366)</x:f>
      </x:c>
      <x:c r="K366" s="40"/>
      <x:c r="L366" s="42"/>
    </x:row>
    <x:row r="367">
      <x:c r="E367" s="42"/>
      <x:c r="F367" s="42"/>
      <x:c r="G367" s="42"/>
      <x:c r="H367" s="42" t="str">
        <x:f>IF(OR(F367="",G367=""),"",F367-G367)</x:f>
      </x:c>
      <x:c r="K367" s="40"/>
      <x:c r="L367" s="42"/>
    </x:row>
    <x:row r="368">
      <x:c r="E368" s="42"/>
      <x:c r="F368" s="42"/>
      <x:c r="G368" s="42"/>
      <x:c r="H368" s="42" t="str">
        <x:f>IF(OR(F368="",G368=""),"",F368-G368)</x:f>
      </x:c>
      <x:c r="K368" s="40"/>
      <x:c r="L368" s="42"/>
    </x:row>
    <x:row r="369">
      <x:c r="E369" s="42"/>
      <x:c r="F369" s="42"/>
      <x:c r="G369" s="42"/>
      <x:c r="H369" s="42" t="str">
        <x:f>IF(OR(F369="",G369=""),"",F369-G369)</x:f>
      </x:c>
      <x:c r="K369" s="40"/>
      <x:c r="L369" s="42"/>
    </x:row>
    <x:row r="370">
      <x:c r="E370" s="42"/>
      <x:c r="F370" s="42"/>
      <x:c r="G370" s="42"/>
      <x:c r="H370" s="42" t="str">
        <x:f>IF(OR(F370="",G370=""),"",F370-G370)</x:f>
      </x:c>
      <x:c r="K370" s="40"/>
      <x:c r="L370" s="42"/>
    </x:row>
    <x:row r="371">
      <x:c r="E371" s="42"/>
      <x:c r="F371" s="42"/>
      <x:c r="G371" s="42"/>
      <x:c r="H371" s="42" t="str">
        <x:f>IF(OR(F371="",G371=""),"",F371-G371)</x:f>
      </x:c>
      <x:c r="K371" s="40"/>
      <x:c r="L371" s="42"/>
    </x:row>
    <x:row r="372">
      <x:c r="E372" s="42"/>
      <x:c r="F372" s="42"/>
      <x:c r="G372" s="42"/>
      <x:c r="H372" s="42" t="str">
        <x:f>IF(OR(F372="",G372=""),"",F372-G372)</x:f>
      </x:c>
      <x:c r="K372" s="40"/>
      <x:c r="L372" s="42"/>
    </x:row>
    <x:row r="373">
      <x:c r="E373" s="42"/>
      <x:c r="F373" s="42"/>
      <x:c r="G373" s="42"/>
      <x:c r="H373" s="42" t="str">
        <x:f>IF(OR(F373="",G373=""),"",F373-G373)</x:f>
      </x:c>
      <x:c r="K373" s="40"/>
      <x:c r="L373" s="42"/>
    </x:row>
    <x:row r="374">
      <x:c r="E374" s="42"/>
      <x:c r="F374" s="42"/>
      <x:c r="G374" s="42"/>
      <x:c r="H374" s="42" t="str">
        <x:f>IF(OR(F374="",G374=""),"",F374-G374)</x:f>
      </x:c>
      <x:c r="K374" s="40"/>
      <x:c r="L374" s="42"/>
    </x:row>
    <x:row r="375">
      <x:c r="E375" s="42"/>
      <x:c r="F375" s="42"/>
      <x:c r="G375" s="42"/>
      <x:c r="H375" s="42" t="str">
        <x:f>IF(OR(F375="",G375=""),"",F375-G375)</x:f>
      </x:c>
      <x:c r="K375" s="40"/>
      <x:c r="L375" s="42"/>
    </x:row>
    <x:row r="376">
      <x:c r="E376" s="42"/>
      <x:c r="F376" s="42"/>
      <x:c r="G376" s="42"/>
      <x:c r="H376" s="42" t="str">
        <x:f>IF(OR(F376="",G376=""),"",F376-G376)</x:f>
      </x:c>
      <x:c r="K376" s="40"/>
      <x:c r="L376" s="42"/>
    </x:row>
    <x:row r="377">
      <x:c r="E377" s="42"/>
      <x:c r="F377" s="42"/>
      <x:c r="G377" s="42"/>
      <x:c r="H377" s="42" t="str">
        <x:f>IF(OR(F377="",G377=""),"",F377-G377)</x:f>
      </x:c>
      <x:c r="K377" s="40"/>
      <x:c r="L377" s="42"/>
    </x:row>
    <x:row r="378">
      <x:c r="E378" s="42"/>
      <x:c r="F378" s="42"/>
      <x:c r="G378" s="42"/>
      <x:c r="H378" s="42" t="str">
        <x:f>IF(OR(F378="",G378=""),"",F378-G378)</x:f>
      </x:c>
      <x:c r="K378" s="40"/>
      <x:c r="L378" s="42"/>
    </x:row>
    <x:row r="379">
      <x:c r="E379" s="42"/>
      <x:c r="F379" s="42"/>
      <x:c r="G379" s="42"/>
      <x:c r="H379" s="42" t="str">
        <x:f>IF(OR(F379="",G379=""),"",F379-G379)</x:f>
      </x:c>
      <x:c r="K379" s="40"/>
      <x:c r="L379" s="42"/>
    </x:row>
    <x:row r="380">
      <x:c r="E380" s="42"/>
      <x:c r="F380" s="42"/>
      <x:c r="G380" s="42"/>
      <x:c r="H380" s="42" t="str">
        <x:f>IF(OR(F380="",G380=""),"",F380-G380)</x:f>
      </x:c>
      <x:c r="K380" s="40"/>
      <x:c r="L380" s="42"/>
    </x:row>
    <x:row r="381">
      <x:c r="E381" s="42"/>
      <x:c r="F381" s="42"/>
      <x:c r="G381" s="42"/>
      <x:c r="H381" s="42" t="str">
        <x:f>IF(OR(F381="",G381=""),"",F381-G381)</x:f>
      </x:c>
      <x:c r="K381" s="40"/>
      <x:c r="L381" s="42"/>
    </x:row>
    <x:row r="382">
      <x:c r="E382" s="42"/>
      <x:c r="F382" s="42"/>
      <x:c r="G382" s="42"/>
      <x:c r="H382" s="42" t="str">
        <x:f>IF(OR(F382="",G382=""),"",F382-G382)</x:f>
      </x:c>
      <x:c r="K382" s="40"/>
      <x:c r="L382" s="42"/>
    </x:row>
    <x:row r="383">
      <x:c r="E383" s="42"/>
      <x:c r="F383" s="42"/>
      <x:c r="G383" s="42"/>
      <x:c r="H383" s="42" t="str">
        <x:f>IF(OR(F383="",G383=""),"",F383-G383)</x:f>
      </x:c>
      <x:c r="K383" s="40"/>
      <x:c r="L383" s="42"/>
    </x:row>
    <x:row r="384">
      <x:c r="E384" s="42"/>
      <x:c r="F384" s="42"/>
      <x:c r="G384" s="42"/>
      <x:c r="H384" s="42" t="str">
        <x:f>IF(OR(F384="",G384=""),"",F384-G384)</x:f>
      </x:c>
      <x:c r="K384" s="40"/>
      <x:c r="L384" s="42"/>
    </x:row>
    <x:row r="385">
      <x:c r="E385" s="42"/>
      <x:c r="F385" s="42"/>
      <x:c r="G385" s="42"/>
      <x:c r="H385" s="42" t="str">
        <x:f>IF(OR(F385="",G385=""),"",F385-G385)</x:f>
      </x:c>
      <x:c r="K385" s="40"/>
      <x:c r="L385" s="42"/>
    </x:row>
    <x:row r="386">
      <x:c r="E386" s="42"/>
      <x:c r="F386" s="42"/>
      <x:c r="G386" s="42"/>
      <x:c r="H386" s="42" t="str">
        <x:f>IF(OR(F386="",G386=""),"",F386-G386)</x:f>
      </x:c>
      <x:c r="K386" s="40"/>
      <x:c r="L386" s="42"/>
    </x:row>
    <x:row r="387">
      <x:c r="E387" s="42"/>
      <x:c r="F387" s="42"/>
      <x:c r="G387" s="42"/>
      <x:c r="H387" s="42" t="str">
        <x:f>IF(OR(F387="",G387=""),"",F387-G387)</x:f>
      </x:c>
      <x:c r="K387" s="40"/>
      <x:c r="L387" s="42"/>
    </x:row>
    <x:row r="388">
      <x:c r="E388" s="42"/>
      <x:c r="F388" s="42"/>
      <x:c r="G388" s="42"/>
      <x:c r="H388" s="42" t="str">
        <x:f>IF(OR(F388="",G388=""),"",F388-G388)</x:f>
      </x:c>
      <x:c r="K388" s="40"/>
      <x:c r="L388" s="42"/>
    </x:row>
    <x:row r="389">
      <x:c r="E389" s="42"/>
      <x:c r="F389" s="42"/>
      <x:c r="G389" s="42"/>
      <x:c r="H389" s="42" t="str">
        <x:f>IF(OR(F389="",G389=""),"",F389-G389)</x:f>
      </x:c>
      <x:c r="K389" s="40"/>
      <x:c r="L389" s="42"/>
    </x:row>
    <x:row r="390">
      <x:c r="E390" s="42"/>
      <x:c r="F390" s="42"/>
      <x:c r="G390" s="42"/>
      <x:c r="H390" s="42" t="str">
        <x:f>IF(OR(F390="",G390=""),"",F390-G390)</x:f>
      </x:c>
      <x:c r="K390" s="40"/>
      <x:c r="L390" s="42"/>
    </x:row>
    <x:row r="391">
      <x:c r="E391" s="42"/>
      <x:c r="F391" s="42"/>
      <x:c r="G391" s="42"/>
      <x:c r="H391" s="42" t="str">
        <x:f>IF(OR(F391="",G391=""),"",F391-G391)</x:f>
      </x:c>
      <x:c r="K391" s="40"/>
      <x:c r="L391" s="42"/>
    </x:row>
    <x:row r="392">
      <x:c r="E392" s="42"/>
      <x:c r="F392" s="42"/>
      <x:c r="G392" s="42"/>
      <x:c r="H392" s="42" t="str">
        <x:f>IF(OR(F392="",G392=""),"",F392-G392)</x:f>
      </x:c>
      <x:c r="K392" s="40"/>
      <x:c r="L392" s="42"/>
    </x:row>
    <x:row r="393">
      <x:c r="E393" s="42"/>
      <x:c r="F393" s="42"/>
      <x:c r="G393" s="42"/>
      <x:c r="H393" s="42" t="str">
        <x:f>IF(OR(F393="",G393=""),"",F393-G393)</x:f>
      </x:c>
      <x:c r="K393" s="40"/>
      <x:c r="L393" s="42"/>
    </x:row>
    <x:row r="394">
      <x:c r="E394" s="42"/>
      <x:c r="F394" s="42"/>
      <x:c r="G394" s="42"/>
      <x:c r="H394" s="42" t="str">
        <x:f>IF(OR(F394="",G394=""),"",F394-G394)</x:f>
      </x:c>
      <x:c r="K394" s="40"/>
      <x:c r="L394" s="42"/>
    </x:row>
    <x:row r="395">
      <x:c r="E395" s="42"/>
      <x:c r="F395" s="42"/>
      <x:c r="G395" s="42"/>
      <x:c r="H395" s="42" t="str">
        <x:f>IF(OR(F395="",G395=""),"",F395-G395)</x:f>
      </x:c>
      <x:c r="K395" s="40"/>
      <x:c r="L395" s="42"/>
    </x:row>
    <x:row r="396">
      <x:c r="E396" s="42"/>
      <x:c r="F396" s="42"/>
      <x:c r="G396" s="42"/>
      <x:c r="H396" s="42" t="str">
        <x:f>IF(OR(F396="",G396=""),"",F396-G396)</x:f>
      </x:c>
      <x:c r="K396" s="40"/>
      <x:c r="L396" s="42"/>
    </x:row>
    <x:row r="397">
      <x:c r="E397" s="42"/>
      <x:c r="F397" s="42"/>
      <x:c r="G397" s="42"/>
      <x:c r="H397" s="42" t="str">
        <x:f>IF(OR(F397="",G397=""),"",F397-G397)</x:f>
      </x:c>
      <x:c r="K397" s="40"/>
      <x:c r="L397" s="42"/>
    </x:row>
    <x:row r="398">
      <x:c r="E398" s="42"/>
      <x:c r="F398" s="42"/>
      <x:c r="G398" s="42"/>
      <x:c r="H398" s="42" t="str">
        <x:f>IF(OR(F398="",G398=""),"",F398-G398)</x:f>
      </x:c>
      <x:c r="K398" s="40"/>
      <x:c r="L398" s="42"/>
    </x:row>
    <x:row r="399">
      <x:c r="E399" s="42"/>
      <x:c r="F399" s="42"/>
      <x:c r="G399" s="42"/>
      <x:c r="H399" s="42" t="str">
        <x:f>IF(OR(F399="",G399=""),"",F399-G399)</x:f>
      </x:c>
      <x:c r="K399" s="40"/>
      <x:c r="L399" s="42"/>
    </x:row>
    <x:row r="400">
      <x:c r="E400" s="42"/>
      <x:c r="F400" s="42"/>
      <x:c r="G400" s="42"/>
      <x:c r="H400" s="42" t="str">
        <x:f>IF(OR(F400="",G400=""),"",F400-G400)</x:f>
      </x:c>
      <x:c r="K400" s="40"/>
      <x:c r="L400" s="42"/>
    </x:row>
    <x:row r="401">
      <x:c r="E401" s="42"/>
      <x:c r="F401" s="42"/>
      <x:c r="G401" s="42"/>
      <x:c r="H401" s="42" t="str">
        <x:f>IF(OR(F401="",G401=""),"",F401-G401)</x:f>
      </x:c>
      <x:c r="K401" s="40"/>
      <x:c r="L401" s="42"/>
    </x:row>
    <x:row r="402">
      <x:c r="E402" s="42"/>
      <x:c r="F402" s="42"/>
      <x:c r="G402" s="42"/>
      <x:c r="H402" s="42" t="str">
        <x:f>IF(OR(F402="",G402=""),"",F402-G402)</x:f>
      </x:c>
      <x:c r="K402" s="40"/>
      <x:c r="L402" s="42"/>
    </x:row>
    <x:row r="403">
      <x:c r="E403" s="42"/>
      <x:c r="F403" s="42"/>
      <x:c r="G403" s="42"/>
      <x:c r="H403" s="42" t="str">
        <x:f>IF(OR(F403="",G403=""),"",F403-G403)</x:f>
      </x:c>
      <x:c r="K403" s="40"/>
      <x:c r="L403" s="42"/>
    </x:row>
    <x:row r="404">
      <x:c r="E404" s="42"/>
      <x:c r="F404" s="42"/>
      <x:c r="G404" s="42"/>
      <x:c r="H404" s="42" t="str">
        <x:f>IF(OR(F404="",G404=""),"",F404-G404)</x:f>
      </x:c>
      <x:c r="K404" s="40"/>
      <x:c r="L404" s="42"/>
    </x:row>
    <x:row r="405">
      <x:c r="E405" s="42"/>
      <x:c r="F405" s="42"/>
      <x:c r="G405" s="42"/>
      <x:c r="H405" s="42" t="str">
        <x:f>IF(OR(F405="",G405=""),"",F405-G405)</x:f>
      </x:c>
      <x:c r="K405" s="40"/>
      <x:c r="L405" s="42"/>
    </x:row>
    <x:row r="406">
      <x:c r="E406" s="42"/>
      <x:c r="F406" s="42"/>
      <x:c r="G406" s="42"/>
      <x:c r="H406" s="42" t="str">
        <x:f>IF(OR(F406="",G406=""),"",F406-G406)</x:f>
      </x:c>
      <x:c r="K406" s="40"/>
      <x:c r="L406" s="42"/>
    </x:row>
    <x:row r="407">
      <x:c r="E407" s="42"/>
      <x:c r="F407" s="42"/>
      <x:c r="G407" s="42"/>
      <x:c r="H407" s="42" t="str">
        <x:f>IF(OR(F407="",G407=""),"",F407-G407)</x:f>
      </x:c>
      <x:c r="K407" s="40"/>
      <x:c r="L407" s="42"/>
    </x:row>
    <x:row r="408">
      <x:c r="E408" s="42"/>
      <x:c r="F408" s="42"/>
      <x:c r="G408" s="42"/>
      <x:c r="H408" s="42" t="str">
        <x:f>IF(OR(F408="",G408=""),"",F408-G408)</x:f>
      </x:c>
      <x:c r="K408" s="40"/>
      <x:c r="L408" s="42"/>
    </x:row>
    <x:row r="409">
      <x:c r="E409" s="42"/>
      <x:c r="F409" s="42"/>
      <x:c r="G409" s="42"/>
      <x:c r="H409" s="42" t="str">
        <x:f>IF(OR(F409="",G409=""),"",F409-G409)</x:f>
      </x:c>
      <x:c r="K409" s="40"/>
      <x:c r="L409" s="42"/>
    </x:row>
    <x:row r="410">
      <x:c r="E410" s="42"/>
      <x:c r="F410" s="42"/>
      <x:c r="G410" s="42"/>
      <x:c r="H410" s="42" t="str">
        <x:f>IF(OR(F410="",G410=""),"",F410-G410)</x:f>
      </x:c>
      <x:c r="K410" s="40"/>
      <x:c r="L410" s="42"/>
    </x:row>
    <x:row r="411">
      <x:c r="E411" s="42"/>
      <x:c r="F411" s="42"/>
      <x:c r="G411" s="42"/>
      <x:c r="H411" s="42" t="str">
        <x:f>IF(OR(F411="",G411=""),"",F411-G411)</x:f>
      </x:c>
      <x:c r="K411" s="40"/>
      <x:c r="L411" s="42"/>
    </x:row>
    <x:row r="412">
      <x:c r="E412" s="42"/>
      <x:c r="F412" s="42"/>
      <x:c r="G412" s="42"/>
      <x:c r="H412" s="42" t="str">
        <x:f>IF(OR(F412="",G412=""),"",F412-G412)</x:f>
      </x:c>
      <x:c r="K412" s="40"/>
      <x:c r="L412" s="42"/>
    </x:row>
    <x:row r="413">
      <x:c r="E413" s="42"/>
      <x:c r="F413" s="42"/>
      <x:c r="G413" s="42"/>
      <x:c r="H413" s="42" t="str">
        <x:f>IF(OR(F413="",G413=""),"",F413-G413)</x:f>
      </x:c>
      <x:c r="K413" s="40"/>
      <x:c r="L413" s="42"/>
    </x:row>
    <x:row r="414">
      <x:c r="E414" s="42"/>
      <x:c r="F414" s="42"/>
      <x:c r="G414" s="42"/>
      <x:c r="H414" s="42" t="str">
        <x:f>IF(OR(F414="",G414=""),"",F414-G414)</x:f>
      </x:c>
      <x:c r="K414" s="40"/>
      <x:c r="L414" s="42"/>
    </x:row>
    <x:row r="415">
      <x:c r="E415" s="42"/>
      <x:c r="F415" s="42"/>
      <x:c r="G415" s="42"/>
      <x:c r="H415" s="42" t="str">
        <x:f>IF(OR(F415="",G415=""),"",F415-G415)</x:f>
      </x:c>
      <x:c r="K415" s="40"/>
      <x:c r="L415" s="42"/>
    </x:row>
    <x:row r="416">
      <x:c r="E416" s="42"/>
      <x:c r="F416" s="42"/>
      <x:c r="G416" s="42"/>
      <x:c r="H416" s="42" t="str">
        <x:f>IF(OR(F416="",G416=""),"",F416-G416)</x:f>
      </x:c>
      <x:c r="K416" s="40"/>
      <x:c r="L416" s="42"/>
    </x:row>
    <x:row r="417">
      <x:c r="E417" s="42"/>
      <x:c r="F417" s="42"/>
      <x:c r="G417" s="42"/>
      <x:c r="H417" s="42" t="str">
        <x:f>IF(OR(F417="",G417=""),"",F417-G417)</x:f>
      </x:c>
      <x:c r="K417" s="40"/>
      <x:c r="L417" s="42"/>
    </x:row>
    <x:row r="418">
      <x:c r="E418" s="42"/>
      <x:c r="F418" s="42"/>
      <x:c r="G418" s="42"/>
      <x:c r="H418" s="42" t="str">
        <x:f>IF(OR(F418="",G418=""),"",F418-G418)</x:f>
      </x:c>
      <x:c r="K418" s="40"/>
      <x:c r="L418" s="42"/>
    </x:row>
    <x:row r="419">
      <x:c r="E419" s="42"/>
      <x:c r="F419" s="42"/>
      <x:c r="G419" s="42"/>
      <x:c r="H419" s="42" t="str">
        <x:f>IF(OR(F419="",G419=""),"",F419-G419)</x:f>
      </x:c>
      <x:c r="K419" s="40"/>
      <x:c r="L419" s="42"/>
    </x:row>
    <x:row r="420">
      <x:c r="E420" s="42"/>
      <x:c r="F420" s="42"/>
      <x:c r="G420" s="42"/>
      <x:c r="H420" s="42" t="str">
        <x:f>IF(OR(F420="",G420=""),"",F420-G420)</x:f>
      </x:c>
      <x:c r="K420" s="40"/>
      <x:c r="L420" s="42"/>
    </x:row>
    <x:row r="421">
      <x:c r="E421" s="42"/>
      <x:c r="F421" s="42"/>
      <x:c r="G421" s="42"/>
      <x:c r="H421" s="42" t="str">
        <x:f>IF(OR(F421="",G421=""),"",F421-G421)</x:f>
      </x:c>
      <x:c r="K421" s="40"/>
      <x:c r="L421" s="42"/>
    </x:row>
    <x:row r="422">
      <x:c r="E422" s="42"/>
      <x:c r="F422" s="42"/>
      <x:c r="G422" s="42"/>
      <x:c r="H422" s="42" t="str">
        <x:f>IF(OR(F422="",G422=""),"",F422-G422)</x:f>
      </x:c>
      <x:c r="K422" s="40"/>
      <x:c r="L422" s="42"/>
    </x:row>
    <x:row r="423">
      <x:c r="E423" s="42"/>
      <x:c r="F423" s="42"/>
      <x:c r="G423" s="42"/>
      <x:c r="H423" s="42" t="str">
        <x:f>IF(OR(F423="",G423=""),"",F423-G423)</x:f>
      </x:c>
      <x:c r="K423" s="40"/>
      <x:c r="L423" s="42"/>
    </x:row>
    <x:row r="424">
      <x:c r="E424" s="42"/>
      <x:c r="F424" s="42"/>
      <x:c r="G424" s="42"/>
      <x:c r="H424" s="42" t="str">
        <x:f>IF(OR(F424="",G424=""),"",F424-G424)</x:f>
      </x:c>
      <x:c r="K424" s="40"/>
      <x:c r="L424" s="42"/>
    </x:row>
    <x:row r="425">
      <x:c r="E425" s="42"/>
      <x:c r="F425" s="42"/>
      <x:c r="G425" s="42"/>
      <x:c r="H425" s="42" t="str">
        <x:f>IF(OR(F425="",G425=""),"",F425-G425)</x:f>
      </x:c>
      <x:c r="K425" s="40"/>
      <x:c r="L425" s="42"/>
    </x:row>
    <x:row r="426">
      <x:c r="E426" s="42"/>
      <x:c r="F426" s="42"/>
      <x:c r="G426" s="42"/>
      <x:c r="H426" s="42" t="str">
        <x:f>IF(OR(F426="",G426=""),"",F426-G426)</x:f>
      </x:c>
      <x:c r="K426" s="40"/>
      <x:c r="L426" s="42"/>
    </x:row>
    <x:row r="427">
      <x:c r="E427" s="42"/>
      <x:c r="F427" s="42"/>
      <x:c r="G427" s="42"/>
      <x:c r="H427" s="42" t="str">
        <x:f>IF(OR(F427="",G427=""),"",F427-G427)</x:f>
      </x:c>
      <x:c r="K427" s="40"/>
      <x:c r="L427" s="42"/>
    </x:row>
    <x:row r="428">
      <x:c r="E428" s="42"/>
      <x:c r="F428" s="42"/>
      <x:c r="G428" s="42"/>
      <x:c r="H428" s="42" t="str">
        <x:f>IF(OR(F428="",G428=""),"",F428-G428)</x:f>
      </x:c>
      <x:c r="K428" s="40"/>
      <x:c r="L428" s="42"/>
    </x:row>
    <x:row r="429">
      <x:c r="E429" s="42"/>
      <x:c r="F429" s="42"/>
      <x:c r="G429" s="42"/>
      <x:c r="H429" s="42" t="str">
        <x:f>IF(OR(F429="",G429=""),"",F429-G429)</x:f>
      </x:c>
      <x:c r="K429" s="40"/>
      <x:c r="L429" s="42"/>
    </x:row>
    <x:row r="430">
      <x:c r="E430" s="42"/>
      <x:c r="F430" s="42"/>
      <x:c r="G430" s="42"/>
      <x:c r="H430" s="42" t="str">
        <x:f>IF(OR(F430="",G430=""),"",F430-G430)</x:f>
      </x:c>
      <x:c r="K430" s="40"/>
      <x:c r="L430" s="42"/>
    </x:row>
    <x:row r="431">
      <x:c r="E431" s="42"/>
      <x:c r="F431" s="42"/>
      <x:c r="G431" s="42"/>
      <x:c r="H431" s="42" t="str">
        <x:f>IF(OR(F431="",G431=""),"",F431-G431)</x:f>
      </x:c>
      <x:c r="K431" s="40"/>
      <x:c r="L431" s="42"/>
    </x:row>
    <x:row r="432">
      <x:c r="E432" s="42"/>
      <x:c r="F432" s="42"/>
      <x:c r="G432" s="42"/>
      <x:c r="H432" s="42" t="str">
        <x:f>IF(OR(F432="",G432=""),"",F432-G432)</x:f>
      </x:c>
      <x:c r="K432" s="40"/>
      <x:c r="L432" s="42"/>
    </x:row>
    <x:row r="433">
      <x:c r="E433" s="42"/>
      <x:c r="F433" s="42"/>
      <x:c r="G433" s="42"/>
      <x:c r="H433" s="42" t="str">
        <x:f>IF(OR(F433="",G433=""),"",F433-G433)</x:f>
      </x:c>
      <x:c r="K433" s="40"/>
      <x:c r="L433" s="42"/>
    </x:row>
    <x:row r="434">
      <x:c r="E434" s="42"/>
      <x:c r="F434" s="42"/>
      <x:c r="G434" s="42"/>
      <x:c r="H434" s="42" t="str">
        <x:f>IF(OR(F434="",G434=""),"",F434-G434)</x:f>
      </x:c>
      <x:c r="K434" s="40"/>
      <x:c r="L434" s="42"/>
    </x:row>
    <x:row r="435">
      <x:c r="E435" s="42"/>
      <x:c r="F435" s="42"/>
      <x:c r="G435" s="42"/>
      <x:c r="H435" s="42" t="str">
        <x:f>IF(OR(F435="",G435=""),"",F435-G435)</x:f>
      </x:c>
      <x:c r="K435" s="40"/>
      <x:c r="L435" s="42"/>
    </x:row>
    <x:row r="436">
      <x:c r="E436" s="42"/>
      <x:c r="F436" s="42"/>
      <x:c r="G436" s="42"/>
      <x:c r="H436" s="42" t="str">
        <x:f>IF(OR(F436="",G436=""),"",F436-G436)</x:f>
      </x:c>
      <x:c r="K436" s="40"/>
      <x:c r="L436" s="42"/>
    </x:row>
    <x:row r="437">
      <x:c r="E437" s="42"/>
      <x:c r="F437" s="42"/>
      <x:c r="G437" s="42"/>
      <x:c r="H437" s="42" t="str">
        <x:f>IF(OR(F437="",G437=""),"",F437-G437)</x:f>
      </x:c>
      <x:c r="K437" s="40"/>
      <x:c r="L437" s="42"/>
    </x:row>
    <x:row r="438">
      <x:c r="E438" s="42"/>
      <x:c r="F438" s="42"/>
      <x:c r="G438" s="42"/>
      <x:c r="H438" s="42" t="str">
        <x:f>IF(OR(F438="",G438=""),"",F438-G438)</x:f>
      </x:c>
      <x:c r="K438" s="40"/>
      <x:c r="L438" s="42"/>
    </x:row>
    <x:row r="439">
      <x:c r="E439" s="42"/>
      <x:c r="F439" s="42"/>
      <x:c r="G439" s="42"/>
      <x:c r="H439" s="42" t="str">
        <x:f>IF(OR(F439="",G439=""),"",F439-G439)</x:f>
      </x:c>
      <x:c r="K439" s="40"/>
      <x:c r="L439" s="42"/>
    </x:row>
    <x:row r="440">
      <x:c r="E440" s="42"/>
      <x:c r="F440" s="42"/>
      <x:c r="G440" s="42"/>
      <x:c r="H440" s="42" t="str">
        <x:f>IF(OR(F440="",G440=""),"",F440-G440)</x:f>
      </x:c>
      <x:c r="K440" s="40"/>
      <x:c r="L440" s="42"/>
    </x:row>
    <x:row r="441">
      <x:c r="E441" s="42"/>
      <x:c r="F441" s="42"/>
      <x:c r="G441" s="42"/>
      <x:c r="H441" s="42" t="str">
        <x:f>IF(OR(F441="",G441=""),"",F441-G441)</x:f>
      </x:c>
      <x:c r="K441" s="40"/>
      <x:c r="L441" s="42"/>
    </x:row>
    <x:row r="442">
      <x:c r="E442" s="42"/>
      <x:c r="F442" s="42"/>
      <x:c r="G442" s="42"/>
      <x:c r="H442" s="42" t="str">
        <x:f>IF(OR(F442="",G442=""),"",F442-G442)</x:f>
      </x:c>
      <x:c r="K442" s="40"/>
      <x:c r="L442" s="42"/>
    </x:row>
    <x:row r="443">
      <x:c r="E443" s="42"/>
      <x:c r="F443" s="42"/>
      <x:c r="G443" s="42"/>
      <x:c r="H443" s="42" t="str">
        <x:f>IF(OR(F443="",G443=""),"",F443-G443)</x:f>
      </x:c>
      <x:c r="K443" s="40"/>
      <x:c r="L443" s="42"/>
    </x:row>
    <x:row r="444">
      <x:c r="E444" s="42"/>
      <x:c r="F444" s="42"/>
      <x:c r="G444" s="42"/>
      <x:c r="H444" s="42" t="str">
        <x:f>IF(OR(F444="",G444=""),"",F444-G444)</x:f>
      </x:c>
      <x:c r="K444" s="40"/>
      <x:c r="L444" s="42"/>
    </x:row>
    <x:row r="445">
      <x:c r="E445" s="42"/>
      <x:c r="F445" s="42"/>
      <x:c r="G445" s="42"/>
      <x:c r="H445" s="42" t="str">
        <x:f>IF(OR(F445="",G445=""),"",F445-G445)</x:f>
      </x:c>
      <x:c r="K445" s="40"/>
      <x:c r="L445" s="42"/>
    </x:row>
    <x:row r="446">
      <x:c r="E446" s="42"/>
      <x:c r="F446" s="42"/>
      <x:c r="G446" s="42"/>
      <x:c r="H446" s="42" t="str">
        <x:f>IF(OR(F446="",G446=""),"",F446-G446)</x:f>
      </x:c>
      <x:c r="K446" s="40"/>
      <x:c r="L446" s="42"/>
    </x:row>
    <x:row r="447">
      <x:c r="E447" s="42"/>
      <x:c r="F447" s="42"/>
      <x:c r="G447" s="42"/>
      <x:c r="H447" s="42" t="str">
        <x:f>IF(OR(F447="",G447=""),"",F447-G447)</x:f>
      </x:c>
      <x:c r="K447" s="40"/>
      <x:c r="L447" s="42"/>
    </x:row>
    <x:row r="448">
      <x:c r="E448" s="42"/>
      <x:c r="F448" s="42"/>
      <x:c r="G448" s="42"/>
      <x:c r="H448" s="42" t="str">
        <x:f>IF(OR(F448="",G448=""),"",F448-G448)</x:f>
      </x:c>
      <x:c r="K448" s="40"/>
      <x:c r="L448" s="42"/>
    </x:row>
    <x:row r="449">
      <x:c r="E449" s="42"/>
      <x:c r="F449" s="42"/>
      <x:c r="G449" s="42"/>
      <x:c r="H449" s="42" t="str">
        <x:f>IF(OR(F449="",G449=""),"",F449-G449)</x:f>
      </x:c>
      <x:c r="K449" s="40"/>
      <x:c r="L449" s="42"/>
    </x:row>
    <x:row r="450">
      <x:c r="E450" s="42"/>
      <x:c r="F450" s="42"/>
      <x:c r="G450" s="42"/>
      <x:c r="H450" s="42" t="str">
        <x:f>IF(OR(F450="",G450=""),"",F450-G450)</x:f>
      </x:c>
      <x:c r="K450" s="40"/>
      <x:c r="L450" s="42"/>
    </x:row>
    <x:row r="451">
      <x:c r="E451" s="42"/>
      <x:c r="F451" s="42"/>
      <x:c r="G451" s="42"/>
      <x:c r="H451" s="42" t="str">
        <x:f>IF(OR(F451="",G451=""),"",F451-G451)</x:f>
      </x:c>
      <x:c r="K451" s="40"/>
      <x:c r="L451" s="42"/>
    </x:row>
    <x:row r="452">
      <x:c r="E452" s="42"/>
      <x:c r="F452" s="42"/>
      <x:c r="G452" s="42"/>
      <x:c r="H452" s="42" t="str">
        <x:f>IF(OR(F452="",G452=""),"",F452-G452)</x:f>
      </x:c>
      <x:c r="K452" s="40"/>
      <x:c r="L452" s="42"/>
    </x:row>
    <x:row r="453">
      <x:c r="E453" s="42"/>
      <x:c r="F453" s="42"/>
      <x:c r="G453" s="42"/>
      <x:c r="H453" s="42" t="str">
        <x:f>IF(OR(F453="",G453=""),"",F453-G453)</x:f>
      </x:c>
      <x:c r="K453" s="40"/>
      <x:c r="L453" s="42"/>
    </x:row>
    <x:row r="454">
      <x:c r="E454" s="42"/>
      <x:c r="F454" s="42"/>
      <x:c r="G454" s="42"/>
      <x:c r="H454" s="42" t="str">
        <x:f>IF(OR(F454="",G454=""),"",F454-G454)</x:f>
      </x:c>
      <x:c r="K454" s="40"/>
      <x:c r="L454" s="42"/>
    </x:row>
    <x:row r="455">
      <x:c r="E455" s="42"/>
      <x:c r="F455" s="42"/>
      <x:c r="G455" s="42"/>
      <x:c r="H455" s="42" t="str">
        <x:f>IF(OR(F455="",G455=""),"",F455-G455)</x:f>
      </x:c>
      <x:c r="K455" s="40"/>
      <x:c r="L455" s="42"/>
    </x:row>
    <x:row r="456">
      <x:c r="E456" s="42"/>
      <x:c r="F456" s="42"/>
      <x:c r="G456" s="42"/>
      <x:c r="H456" s="42" t="str">
        <x:f>IF(OR(F456="",G456=""),"",F456-G456)</x:f>
      </x:c>
      <x:c r="K456" s="40"/>
      <x:c r="L456" s="42"/>
    </x:row>
    <x:row r="457">
      <x:c r="E457" s="42"/>
      <x:c r="F457" s="42"/>
      <x:c r="G457" s="42"/>
      <x:c r="H457" s="42" t="str">
        <x:f>IF(OR(F457="",G457=""),"",F457-G457)</x:f>
      </x:c>
      <x:c r="K457" s="40"/>
      <x:c r="L457" s="42"/>
    </x:row>
    <x:row r="458">
      <x:c r="E458" s="42"/>
      <x:c r="F458" s="42"/>
      <x:c r="G458" s="42"/>
      <x:c r="H458" s="42" t="str">
        <x:f>IF(OR(F458="",G458=""),"",F458-G458)</x:f>
      </x:c>
      <x:c r="K458" s="40"/>
      <x:c r="L458" s="42"/>
    </x:row>
    <x:row r="459">
      <x:c r="E459" s="42"/>
      <x:c r="F459" s="42"/>
      <x:c r="G459" s="42"/>
      <x:c r="H459" s="42" t="str">
        <x:f>IF(OR(F459="",G459=""),"",F459-G459)</x:f>
      </x:c>
      <x:c r="K459" s="40"/>
      <x:c r="L459" s="42"/>
    </x:row>
    <x:row r="460">
      <x:c r="E460" s="42"/>
      <x:c r="F460" s="42"/>
      <x:c r="G460" s="42"/>
      <x:c r="H460" s="42" t="str">
        <x:f>IF(OR(F460="",G460=""),"",F460-G460)</x:f>
      </x:c>
      <x:c r="K460" s="40"/>
      <x:c r="L460" s="42"/>
    </x:row>
    <x:row r="461">
      <x:c r="E461" s="42"/>
      <x:c r="F461" s="42"/>
      <x:c r="G461" s="42"/>
      <x:c r="H461" s="42" t="str">
        <x:f>IF(OR(F461="",G461=""),"",F461-G461)</x:f>
      </x:c>
      <x:c r="K461" s="40"/>
      <x:c r="L461" s="42"/>
    </x:row>
    <x:row r="462">
      <x:c r="E462" s="42"/>
      <x:c r="F462" s="42"/>
      <x:c r="G462" s="42"/>
      <x:c r="H462" s="42" t="str">
        <x:f>IF(OR(F462="",G462=""),"",F462-G462)</x:f>
      </x:c>
      <x:c r="K462" s="40"/>
      <x:c r="L462" s="42"/>
    </x:row>
    <x:row r="463">
      <x:c r="E463" s="42"/>
      <x:c r="F463" s="42"/>
      <x:c r="G463" s="42"/>
      <x:c r="H463" s="42" t="str">
        <x:f>IF(OR(F463="",G463=""),"",F463-G463)</x:f>
      </x:c>
      <x:c r="K463" s="40"/>
      <x:c r="L463" s="42"/>
    </x:row>
    <x:row r="464">
      <x:c r="E464" s="42"/>
      <x:c r="F464" s="42"/>
      <x:c r="G464" s="42"/>
      <x:c r="H464" s="42" t="str">
        <x:f>IF(OR(F464="",G464=""),"",F464-G464)</x:f>
      </x:c>
      <x:c r="K464" s="40"/>
      <x:c r="L464" s="42"/>
    </x:row>
    <x:row r="465">
      <x:c r="E465" s="42"/>
      <x:c r="F465" s="42"/>
      <x:c r="G465" s="42"/>
      <x:c r="H465" s="42" t="str">
        <x:f>IF(OR(F465="",G465=""),"",F465-G465)</x:f>
      </x:c>
      <x:c r="K465" s="40"/>
      <x:c r="L465" s="42"/>
    </x:row>
    <x:row r="466">
      <x:c r="E466" s="42"/>
      <x:c r="F466" s="42"/>
      <x:c r="G466" s="42"/>
      <x:c r="H466" s="42" t="str">
        <x:f>IF(OR(F466="",G466=""),"",F466-G466)</x:f>
      </x:c>
      <x:c r="K466" s="40"/>
      <x:c r="L466" s="42"/>
    </x:row>
    <x:row r="467">
      <x:c r="E467" s="42"/>
      <x:c r="F467" s="42"/>
      <x:c r="G467" s="42"/>
      <x:c r="H467" s="42" t="str">
        <x:f>IF(OR(F467="",G467=""),"",F467-G467)</x:f>
      </x:c>
      <x:c r="K467" s="40"/>
      <x:c r="L467" s="42"/>
    </x:row>
    <x:row r="468">
      <x:c r="E468" s="42"/>
      <x:c r="F468" s="42"/>
      <x:c r="G468" s="42"/>
      <x:c r="H468" s="42" t="str">
        <x:f>IF(OR(F468="",G468=""),"",F468-G468)</x:f>
      </x:c>
      <x:c r="K468" s="40"/>
      <x:c r="L468" s="42"/>
    </x:row>
    <x:row r="469">
      <x:c r="E469" s="42"/>
      <x:c r="F469" s="42"/>
      <x:c r="G469" s="42"/>
      <x:c r="H469" s="42" t="str">
        <x:f>IF(OR(F469="",G469=""),"",F469-G469)</x:f>
      </x:c>
      <x:c r="K469" s="40"/>
      <x:c r="L469" s="42"/>
    </x:row>
    <x:row r="470">
      <x:c r="E470" s="42"/>
      <x:c r="F470" s="42"/>
      <x:c r="G470" s="42"/>
      <x:c r="H470" s="42" t="str">
        <x:f>IF(OR(F470="",G470=""),"",F470-G470)</x:f>
      </x:c>
      <x:c r="K470" s="40"/>
      <x:c r="L470" s="42"/>
    </x:row>
    <x:row r="471">
      <x:c r="E471" s="42"/>
      <x:c r="F471" s="42"/>
      <x:c r="G471" s="42"/>
      <x:c r="H471" s="42" t="str">
        <x:f>IF(OR(F471="",G471=""),"",F471-G471)</x:f>
      </x:c>
      <x:c r="K471" s="40"/>
      <x:c r="L471" s="42"/>
    </x:row>
    <x:row r="472">
      <x:c r="E472" s="42"/>
      <x:c r="F472" s="42"/>
      <x:c r="G472" s="42"/>
      <x:c r="H472" s="42" t="str">
        <x:f>IF(OR(F472="",G472=""),"",F472-G472)</x:f>
      </x:c>
      <x:c r="K472" s="40"/>
      <x:c r="L472" s="42"/>
    </x:row>
    <x:row r="473">
      <x:c r="E473" s="42"/>
      <x:c r="F473" s="42"/>
      <x:c r="G473" s="42"/>
      <x:c r="H473" s="42" t="str">
        <x:f>IF(OR(F473="",G473=""),"",F473-G473)</x:f>
      </x:c>
      <x:c r="K473" s="40"/>
      <x:c r="L473" s="42"/>
    </x:row>
    <x:row r="474">
      <x:c r="E474" s="42"/>
      <x:c r="F474" s="42"/>
      <x:c r="G474" s="42"/>
      <x:c r="H474" s="42" t="str">
        <x:f>IF(OR(F474="",G474=""),"",F474-G474)</x:f>
      </x:c>
      <x:c r="K474" s="40"/>
      <x:c r="L474" s="42"/>
    </x:row>
    <x:row r="475">
      <x:c r="E475" s="42"/>
      <x:c r="F475" s="42"/>
      <x:c r="G475" s="42"/>
      <x:c r="H475" s="42" t="str">
        <x:f>IF(OR(F475="",G475=""),"",F475-G475)</x:f>
      </x:c>
      <x:c r="K475" s="40"/>
      <x:c r="L475" s="42"/>
    </x:row>
    <x:row r="476">
      <x:c r="E476" s="42"/>
      <x:c r="F476" s="42"/>
      <x:c r="G476" s="42"/>
      <x:c r="H476" s="42" t="str">
        <x:f>IF(OR(F476="",G476=""),"",F476-G476)</x:f>
      </x:c>
      <x:c r="K476" s="40"/>
      <x:c r="L476" s="42"/>
    </x:row>
    <x:row r="477">
      <x:c r="E477" s="42"/>
      <x:c r="F477" s="42"/>
      <x:c r="G477" s="42"/>
      <x:c r="H477" s="42" t="str">
        <x:f>IF(OR(F477="",G477=""),"",F477-G477)</x:f>
      </x:c>
      <x:c r="K477" s="40"/>
      <x:c r="L477" s="42"/>
    </x:row>
    <x:row r="478">
      <x:c r="E478" s="42"/>
      <x:c r="F478" s="42"/>
      <x:c r="G478" s="42"/>
      <x:c r="H478" s="42" t="str">
        <x:f>IF(OR(F478="",G478=""),"",F478-G478)</x:f>
      </x:c>
      <x:c r="K478" s="40"/>
      <x:c r="L478" s="42"/>
    </x:row>
    <x:row r="479">
      <x:c r="E479" s="42"/>
      <x:c r="F479" s="42"/>
      <x:c r="G479" s="42"/>
      <x:c r="H479" s="42" t="str">
        <x:f>IF(OR(F479="",G479=""),"",F479-G479)</x:f>
      </x:c>
      <x:c r="K479" s="40"/>
      <x:c r="L479" s="42"/>
    </x:row>
    <x:row r="480">
      <x:c r="E480" s="42"/>
      <x:c r="F480" s="42"/>
      <x:c r="G480" s="42"/>
      <x:c r="H480" s="42" t="str">
        <x:f>IF(OR(F480="",G480=""),"",F480-G480)</x:f>
      </x:c>
      <x:c r="K480" s="40"/>
      <x:c r="L480" s="42"/>
    </x:row>
    <x:row r="481">
      <x:c r="E481" s="42"/>
      <x:c r="F481" s="42"/>
      <x:c r="G481" s="42"/>
      <x:c r="H481" s="42" t="str">
        <x:f>IF(OR(F481="",G481=""),"",F481-G481)</x:f>
      </x:c>
      <x:c r="K481" s="40"/>
      <x:c r="L481" s="42"/>
    </x:row>
    <x:row r="482">
      <x:c r="E482" s="42"/>
      <x:c r="F482" s="42"/>
      <x:c r="G482" s="42"/>
      <x:c r="H482" s="42" t="str">
        <x:f>IF(OR(F482="",G482=""),"",F482-G482)</x:f>
      </x:c>
      <x:c r="K482" s="40"/>
      <x:c r="L482" s="42"/>
    </x:row>
    <x:row r="483">
      <x:c r="E483" s="42"/>
      <x:c r="F483" s="42"/>
      <x:c r="G483" s="42"/>
      <x:c r="H483" s="42" t="str">
        <x:f>IF(OR(F483="",G483=""),"",F483-G483)</x:f>
      </x:c>
      <x:c r="K483" s="40"/>
      <x:c r="L483" s="42"/>
    </x:row>
    <x:row r="484">
      <x:c r="E484" s="42"/>
      <x:c r="F484" s="42"/>
      <x:c r="G484" s="42"/>
      <x:c r="H484" s="42" t="str">
        <x:f>IF(OR(F484="",G484=""),"",F484-G484)</x:f>
      </x:c>
      <x:c r="K484" s="40"/>
      <x:c r="L484" s="42"/>
    </x:row>
    <x:row r="485">
      <x:c r="E485" s="42"/>
      <x:c r="F485" s="42"/>
      <x:c r="G485" s="42"/>
      <x:c r="H485" s="42" t="str">
        <x:f>IF(OR(F485="",G485=""),"",F485-G485)</x:f>
      </x:c>
      <x:c r="K485" s="40"/>
      <x:c r="L485" s="42"/>
    </x:row>
    <x:row r="486">
      <x:c r="E486" s="42"/>
      <x:c r="F486" s="42"/>
      <x:c r="G486" s="42"/>
      <x:c r="H486" s="42" t="str">
        <x:f>IF(OR(F486="",G486=""),"",F486-G486)</x:f>
      </x:c>
      <x:c r="K486" s="40"/>
      <x:c r="L486" s="42"/>
    </x:row>
    <x:row r="487">
      <x:c r="E487" s="42"/>
      <x:c r="F487" s="42"/>
      <x:c r="G487" s="42"/>
      <x:c r="H487" s="42" t="str">
        <x:f>IF(OR(F487="",G487=""),"",F487-G487)</x:f>
      </x:c>
      <x:c r="K487" s="40"/>
      <x:c r="L487" s="42"/>
    </x:row>
    <x:row r="488">
      <x:c r="E488" s="42"/>
      <x:c r="F488" s="42"/>
      <x:c r="G488" s="42"/>
      <x:c r="H488" s="42" t="str">
        <x:f>IF(OR(F488="",G488=""),"",F488-G488)</x:f>
      </x:c>
      <x:c r="K488" s="40"/>
      <x:c r="L488" s="42"/>
    </x:row>
    <x:row r="489">
      <x:c r="E489" s="42"/>
      <x:c r="F489" s="42"/>
      <x:c r="G489" s="42"/>
      <x:c r="H489" s="42" t="str">
        <x:f>IF(OR(F489="",G489=""),"",F489-G489)</x:f>
      </x:c>
      <x:c r="K489" s="40"/>
      <x:c r="L489" s="42"/>
    </x:row>
    <x:row r="490">
      <x:c r="E490" s="42"/>
      <x:c r="F490" s="42"/>
      <x:c r="G490" s="42"/>
      <x:c r="H490" s="42" t="str">
        <x:f>IF(OR(F490="",G490=""),"",F490-G490)</x:f>
      </x:c>
      <x:c r="K490" s="40"/>
      <x:c r="L490" s="42"/>
    </x:row>
    <x:row r="491">
      <x:c r="E491" s="42"/>
      <x:c r="F491" s="42"/>
      <x:c r="G491" s="42"/>
      <x:c r="H491" s="42" t="str">
        <x:f>IF(OR(F491="",G491=""),"",F491-G491)</x:f>
      </x:c>
      <x:c r="K491" s="40"/>
      <x:c r="L491" s="42"/>
    </x:row>
    <x:row r="492">
      <x:c r="E492" s="42"/>
      <x:c r="F492" s="42"/>
      <x:c r="G492" s="42"/>
      <x:c r="H492" s="42" t="str">
        <x:f>IF(OR(F492="",G492=""),"",F492-G492)</x:f>
      </x:c>
      <x:c r="K492" s="40"/>
      <x:c r="L492" s="42"/>
    </x:row>
    <x:row r="493">
      <x:c r="E493" s="42"/>
      <x:c r="F493" s="42"/>
      <x:c r="G493" s="42"/>
      <x:c r="H493" s="42" t="str">
        <x:f>IF(OR(F493="",G493=""),"",F493-G493)</x:f>
      </x:c>
      <x:c r="K493" s="40"/>
      <x:c r="L493" s="42"/>
    </x:row>
    <x:row r="494">
      <x:c r="E494" s="42"/>
      <x:c r="F494" s="42"/>
      <x:c r="G494" s="42"/>
      <x:c r="H494" s="42" t="str">
        <x:f>IF(OR(F494="",G494=""),"",F494-G494)</x:f>
      </x:c>
      <x:c r="K494" s="40"/>
      <x:c r="L494" s="42"/>
    </x:row>
    <x:row r="495">
      <x:c r="E495" s="42"/>
      <x:c r="F495" s="42"/>
      <x:c r="G495" s="42"/>
      <x:c r="H495" s="42" t="str">
        <x:f>IF(OR(F495="",G495=""),"",F495-G495)</x:f>
      </x:c>
      <x:c r="K495" s="40"/>
      <x:c r="L495" s="42"/>
    </x:row>
    <x:row r="496">
      <x:c r="E496" s="42"/>
      <x:c r="F496" s="42"/>
      <x:c r="G496" s="42"/>
      <x:c r="H496" s="42" t="str">
        <x:f>IF(OR(F496="",G496=""),"",F496-G496)</x:f>
      </x:c>
      <x:c r="K496" s="40"/>
      <x:c r="L496" s="42"/>
    </x:row>
    <x:row r="497">
      <x:c r="E497" s="42"/>
      <x:c r="F497" s="42"/>
      <x:c r="G497" s="42"/>
      <x:c r="H497" s="42" t="str">
        <x:f>IF(OR(F497="",G497=""),"",F497-G497)</x:f>
      </x:c>
      <x:c r="K497" s="40"/>
      <x:c r="L497" s="42"/>
    </x:row>
    <x:row r="498">
      <x:c r="E498" s="42"/>
      <x:c r="F498" s="42"/>
      <x:c r="G498" s="42"/>
      <x:c r="H498" s="42" t="str">
        <x:f>IF(OR(F498="",G498=""),"",F498-G498)</x:f>
      </x:c>
      <x:c r="K498" s="40"/>
      <x:c r="L498" s="42"/>
    </x:row>
    <x:row r="499">
      <x:c r="E499" s="42"/>
      <x:c r="F499" s="42"/>
      <x:c r="G499" s="42"/>
      <x:c r="H499" s="42" t="str">
        <x:f>IF(OR(F499="",G499=""),"",F499-G499)</x:f>
      </x:c>
      <x:c r="K499" s="40"/>
      <x:c r="L499" s="42"/>
    </x:row>
    <x:row r="500">
      <x:c r="E500" s="42"/>
      <x:c r="F500" s="42"/>
      <x:c r="G500" s="42"/>
      <x:c r="H500" s="42" t="str">
        <x:f>IF(OR(F500="",G500=""),"",F500-G500)</x:f>
      </x:c>
      <x:c r="K500" s="40"/>
      <x:c r="L500" s="42"/>
    </x:row>
  </x:sheetData>
  <x:mergeCells>
    <x:mergeCell ref="A1:P1"/>
  </x:mergeCells>
  <x:conditionalFormatting sqref="F4:F500">
    <x:cfRule type="dataBar" priority="1">
      <x:dataBar>
        <x:cfvo type="min"/>
        <x:cfvo type="max"/>
        <x:color rgb="FF6E9F76"/>
      </x:dataBar>
      <x:extLst>
        <x:ext xmlns:x14="http://schemas.microsoft.com/office/spreadsheetml/2009/9/main" uri="{B025F937-C7B1-47D3-B67F-A62EFF666E3E}">
          <x14:id>{A6AFE6C5-9442-86FF-2F60-CF66993557FB}</x14:id>
        </x:ext>
      </x:extLst>
    </x:cfRule>
  </x:conditionalFormatting>
  <x:dataValidations count="3">
    <x:dataValidation type="list" sqref="J4:J500">
      <x:formula1>"Identified,Analyzing,Negotiating,Approved,Implementing,Completed,Rejected"</x:formula1>
    </x:dataValidation>
    <x:dataValidation type="list" sqref="M4:M500">
      <x:formula1>"Yes,No,Pending"</x:formula1>
    </x:dataValidation>
    <x:dataValidation type="list" sqref="N4:N500">
      <x:formula1>"Low,Medium,High,Critical"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AFE6C5-9442-86FF-2F60-CF66993557FB}">
            <x14:dataBar gradient="1">
              <x14:cfvo type="min"/>
              <x14:cfvo type="max"/>
              <x14:fillColor rgb="FF6E9F76"/>
            </x14:dataBar>
          </x14:cfRule>
          <xm:sqref>F4:F500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  <x:col min="11" max="11" width="16" hidden="0" customWidth="1"/>
    <x:col min="12" max="12" width="24" hidden="0" customWidth="1"/>
    <x:col min="13" max="13" width="18" hidden="0" customWidth="1"/>
    <x:col min="14" max="14" width="40" hidden="0" customWidth="1"/>
  </x:cols>
  <x:sheetData>
    <x:row r="1">
      <x:c r="A1" s="5" t="str">
        <x:v>Supplier Performance Scorecard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34" t="str">
        <x:v>Supplier ID</x:v>
      </x:c>
      <x:c r="B3" s="34" t="str">
        <x:v>Supplier Name</x:v>
      </x:c>
      <x:c r="C3" s="34" t="str">
        <x:v>Annual Spend</x:v>
      </x:c>
      <x:c r="D3" s="34" t="str">
        <x:v>On-Time Delivery %</x:v>
      </x:c>
      <x:c r="E3" s="34" t="str">
        <x:v>Complete Delivery %</x:v>
      </x:c>
      <x:c r="F3" s="34" t="str">
        <x:v>Quality Acceptance %</x:v>
      </x:c>
      <x:c r="G3" s="34" t="str">
        <x:v>Invoice Accuracy %</x:v>
      </x:c>
      <x:c r="H3" s="34" t="str">
        <x:v>Responsiveness Score</x:v>
      </x:c>
      <x:c r="I3" s="34" t="str">
        <x:v>Contract Compliance %</x:v>
      </x:c>
      <x:c r="J3" s="34" t="str">
        <x:v>Risk Score</x:v>
      </x:c>
      <x:c r="K3" s="34" t="str">
        <x:v>Weighted Score</x:v>
      </x:c>
      <x:c r="L3" s="34" t="str">
        <x:v>Grade</x:v>
      </x:c>
      <x:c r="M3" s="34" t="str">
        <x:v>Review Owner</x:v>
      </x:c>
      <x:c r="N3" s="34" t="str">
        <x:v>Improvement Action</x:v>
      </x:c>
    </x:row>
    <x:row r="4">
      <x:c r="C4" s="42"/>
      <x:c r="D4" s="44"/>
      <x:c r="E4" s="44"/>
      <x:c r="F4" s="44"/>
      <x:c r="G4" s="44"/>
      <x:c r="I4" s="44"/>
      <x:c r="J4" s="44"/>
      <x:c r="K4" s="44" t="str">
        <x:f>IF(COUNTA(D4:J4)=0,"",D4*0.25+E4*0.10+F4*0.20+G4*0.10+(H4/5)*0.10+I4*0.15+(1-J4)*0.10)</x:f>
      </x:c>
      <x:c r="L4" t="str">
        <x:f>IF(K4="","",IF(K4&gt;=0.90,"Preferred",IF(K4&gt;=0.80,"Approved",IF(K4&gt;=0.70,"Conditional",IF(K4&gt;=0.60,"Improvement Required","Replacement Candidate")))))</x:f>
      </x:c>
    </x:row>
    <x:row r="5">
      <x:c r="C5" s="42"/>
      <x:c r="D5" s="44"/>
      <x:c r="E5" s="44"/>
      <x:c r="F5" s="44"/>
      <x:c r="G5" s="44"/>
      <x:c r="I5" s="44"/>
      <x:c r="J5" s="44"/>
      <x:c r="K5" s="44" t="str">
        <x:f>IF(COUNTA(D5:J5)=0,"",D5*0.25+E5*0.10+F5*0.20+G5*0.10+(H5/5)*0.10+I5*0.15+(1-J5)*0.10)</x:f>
      </x:c>
      <x:c r="L5" t="str">
        <x:f>IF(K5="","",IF(K5&gt;=0.90,"Preferred",IF(K5&gt;=0.80,"Approved",IF(K5&gt;=0.70,"Conditional",IF(K5&gt;=0.60,"Improvement Required","Replacement Candidate")))))</x:f>
      </x:c>
    </x:row>
    <x:row r="6">
      <x:c r="C6" s="42"/>
      <x:c r="D6" s="44"/>
      <x:c r="E6" s="44"/>
      <x:c r="F6" s="44"/>
      <x:c r="G6" s="44"/>
      <x:c r="I6" s="44"/>
      <x:c r="J6" s="44"/>
      <x:c r="K6" s="44" t="str">
        <x:f>IF(COUNTA(D6:J6)=0,"",D6*0.25+E6*0.10+F6*0.20+G6*0.10+(H6/5)*0.10+I6*0.15+(1-J6)*0.10)</x:f>
      </x:c>
      <x:c r="L6" t="str">
        <x:f>IF(K6="","",IF(K6&gt;=0.90,"Preferred",IF(K6&gt;=0.80,"Approved",IF(K6&gt;=0.70,"Conditional",IF(K6&gt;=0.60,"Improvement Required","Replacement Candidate")))))</x:f>
      </x:c>
    </x:row>
    <x:row r="7">
      <x:c r="C7" s="42"/>
      <x:c r="D7" s="44"/>
      <x:c r="E7" s="44"/>
      <x:c r="F7" s="44"/>
      <x:c r="G7" s="44"/>
      <x:c r="I7" s="44"/>
      <x:c r="J7" s="44"/>
      <x:c r="K7" s="44" t="str">
        <x:f>IF(COUNTA(D7:J7)=0,"",D7*0.25+E7*0.10+F7*0.20+G7*0.10+(H7/5)*0.10+I7*0.15+(1-J7)*0.10)</x:f>
      </x:c>
      <x:c r="L7" t="str">
        <x:f>IF(K7="","",IF(K7&gt;=0.90,"Preferred",IF(K7&gt;=0.80,"Approved",IF(K7&gt;=0.70,"Conditional",IF(K7&gt;=0.60,"Improvement Required","Replacement Candidate")))))</x:f>
      </x:c>
    </x:row>
    <x:row r="8">
      <x:c r="C8" s="42"/>
      <x:c r="D8" s="44"/>
      <x:c r="E8" s="44"/>
      <x:c r="F8" s="44"/>
      <x:c r="G8" s="44"/>
      <x:c r="I8" s="44"/>
      <x:c r="J8" s="44"/>
      <x:c r="K8" s="44" t="str">
        <x:f>IF(COUNTA(D8:J8)=0,"",D8*0.25+E8*0.10+F8*0.20+G8*0.10+(H8/5)*0.10+I8*0.15+(1-J8)*0.10)</x:f>
      </x:c>
      <x:c r="L8" t="str">
        <x:f>IF(K8="","",IF(K8&gt;=0.90,"Preferred",IF(K8&gt;=0.80,"Approved",IF(K8&gt;=0.70,"Conditional",IF(K8&gt;=0.60,"Improvement Required","Replacement Candidate")))))</x:f>
      </x:c>
    </x:row>
    <x:row r="9">
      <x:c r="C9" s="42"/>
      <x:c r="D9" s="44"/>
      <x:c r="E9" s="44"/>
      <x:c r="F9" s="44"/>
      <x:c r="G9" s="44"/>
      <x:c r="I9" s="44"/>
      <x:c r="J9" s="44"/>
      <x:c r="K9" s="44" t="str">
        <x:f>IF(COUNTA(D9:J9)=0,"",D9*0.25+E9*0.10+F9*0.20+G9*0.10+(H9/5)*0.10+I9*0.15+(1-J9)*0.10)</x:f>
      </x:c>
      <x:c r="L9" t="str">
        <x:f>IF(K9="","",IF(K9&gt;=0.90,"Preferred",IF(K9&gt;=0.80,"Approved",IF(K9&gt;=0.70,"Conditional",IF(K9&gt;=0.60,"Improvement Required","Replacement Candidate")))))</x:f>
      </x:c>
    </x:row>
    <x:row r="10">
      <x:c r="C10" s="42"/>
      <x:c r="D10" s="44"/>
      <x:c r="E10" s="44"/>
      <x:c r="F10" s="44"/>
      <x:c r="G10" s="44"/>
      <x:c r="I10" s="44"/>
      <x:c r="J10" s="44"/>
      <x:c r="K10" s="44" t="str">
        <x:f>IF(COUNTA(D10:J10)=0,"",D10*0.25+E10*0.10+F10*0.20+G10*0.10+(H10/5)*0.10+I10*0.15+(1-J10)*0.10)</x:f>
      </x:c>
      <x:c r="L10" t="str">
        <x:f>IF(K10="","",IF(K10&gt;=0.90,"Preferred",IF(K10&gt;=0.80,"Approved",IF(K10&gt;=0.70,"Conditional",IF(K10&gt;=0.60,"Improvement Required","Replacement Candidate")))))</x:f>
      </x:c>
    </x:row>
    <x:row r="11">
      <x:c r="C11" s="42"/>
      <x:c r="D11" s="44"/>
      <x:c r="E11" s="44"/>
      <x:c r="F11" s="44"/>
      <x:c r="G11" s="44"/>
      <x:c r="I11" s="44"/>
      <x:c r="J11" s="44"/>
      <x:c r="K11" s="44" t="str">
        <x:f>IF(COUNTA(D11:J11)=0,"",D11*0.25+E11*0.10+F11*0.20+G11*0.10+(H11/5)*0.10+I11*0.15+(1-J11)*0.10)</x:f>
      </x:c>
      <x:c r="L11" t="str">
        <x:f>IF(K11="","",IF(K11&gt;=0.90,"Preferred",IF(K11&gt;=0.80,"Approved",IF(K11&gt;=0.70,"Conditional",IF(K11&gt;=0.60,"Improvement Required","Replacement Candidate")))))</x:f>
      </x:c>
    </x:row>
    <x:row r="12">
      <x:c r="C12" s="42"/>
      <x:c r="D12" s="44"/>
      <x:c r="E12" s="44"/>
      <x:c r="F12" s="44"/>
      <x:c r="G12" s="44"/>
      <x:c r="I12" s="44"/>
      <x:c r="J12" s="44"/>
      <x:c r="K12" s="44" t="str">
        <x:f>IF(COUNTA(D12:J12)=0,"",D12*0.25+E12*0.10+F12*0.20+G12*0.10+(H12/5)*0.10+I12*0.15+(1-J12)*0.10)</x:f>
      </x:c>
      <x:c r="L12" t="str">
        <x:f>IF(K12="","",IF(K12&gt;=0.90,"Preferred",IF(K12&gt;=0.80,"Approved",IF(K12&gt;=0.70,"Conditional",IF(K12&gt;=0.60,"Improvement Required","Replacement Candidate")))))</x:f>
      </x:c>
    </x:row>
    <x:row r="13">
      <x:c r="C13" s="42"/>
      <x:c r="D13" s="44"/>
      <x:c r="E13" s="44"/>
      <x:c r="F13" s="44"/>
      <x:c r="G13" s="44"/>
      <x:c r="I13" s="44"/>
      <x:c r="J13" s="44"/>
      <x:c r="K13" s="44" t="str">
        <x:f>IF(COUNTA(D13:J13)=0,"",D13*0.25+E13*0.10+F13*0.20+G13*0.10+(H13/5)*0.10+I13*0.15+(1-J13)*0.10)</x:f>
      </x:c>
      <x:c r="L13" t="str">
        <x:f>IF(K13="","",IF(K13&gt;=0.90,"Preferred",IF(K13&gt;=0.80,"Approved",IF(K13&gt;=0.70,"Conditional",IF(K13&gt;=0.60,"Improvement Required","Replacement Candidate")))))</x:f>
      </x:c>
    </x:row>
    <x:row r="14">
      <x:c r="C14" s="42"/>
      <x:c r="D14" s="44"/>
      <x:c r="E14" s="44"/>
      <x:c r="F14" s="44"/>
      <x:c r="G14" s="44"/>
      <x:c r="I14" s="44"/>
      <x:c r="J14" s="44"/>
      <x:c r="K14" s="44" t="str">
        <x:f>IF(COUNTA(D14:J14)=0,"",D14*0.25+E14*0.10+F14*0.20+G14*0.10+(H14/5)*0.10+I14*0.15+(1-J14)*0.10)</x:f>
      </x:c>
      <x:c r="L14" t="str">
        <x:f>IF(K14="","",IF(K14&gt;=0.90,"Preferred",IF(K14&gt;=0.80,"Approved",IF(K14&gt;=0.70,"Conditional",IF(K14&gt;=0.60,"Improvement Required","Replacement Candidate")))))</x:f>
      </x:c>
    </x:row>
    <x:row r="15">
      <x:c r="C15" s="42"/>
      <x:c r="D15" s="44"/>
      <x:c r="E15" s="44"/>
      <x:c r="F15" s="44"/>
      <x:c r="G15" s="44"/>
      <x:c r="I15" s="44"/>
      <x:c r="J15" s="44"/>
      <x:c r="K15" s="44" t="str">
        <x:f>IF(COUNTA(D15:J15)=0,"",D15*0.25+E15*0.10+F15*0.20+G15*0.10+(H15/5)*0.10+I15*0.15+(1-J15)*0.10)</x:f>
      </x:c>
      <x:c r="L15" t="str">
        <x:f>IF(K15="","",IF(K15&gt;=0.90,"Preferred",IF(K15&gt;=0.80,"Approved",IF(K15&gt;=0.70,"Conditional",IF(K15&gt;=0.60,"Improvement Required","Replacement Candidate")))))</x:f>
      </x:c>
    </x:row>
    <x:row r="16">
      <x:c r="C16" s="42"/>
      <x:c r="D16" s="44"/>
      <x:c r="E16" s="44"/>
      <x:c r="F16" s="44"/>
      <x:c r="G16" s="44"/>
      <x:c r="I16" s="44"/>
      <x:c r="J16" s="44"/>
      <x:c r="K16" s="44" t="str">
        <x:f>IF(COUNTA(D16:J16)=0,"",D16*0.25+E16*0.10+F16*0.20+G16*0.10+(H16/5)*0.10+I16*0.15+(1-J16)*0.10)</x:f>
      </x:c>
      <x:c r="L16" t="str">
        <x:f>IF(K16="","",IF(K16&gt;=0.90,"Preferred",IF(K16&gt;=0.80,"Approved",IF(K16&gt;=0.70,"Conditional",IF(K16&gt;=0.60,"Improvement Required","Replacement Candidate")))))</x:f>
      </x:c>
    </x:row>
    <x:row r="17">
      <x:c r="C17" s="42"/>
      <x:c r="D17" s="44"/>
      <x:c r="E17" s="44"/>
      <x:c r="F17" s="44"/>
      <x:c r="G17" s="44"/>
      <x:c r="I17" s="44"/>
      <x:c r="J17" s="44"/>
      <x:c r="K17" s="44" t="str">
        <x:f>IF(COUNTA(D17:J17)=0,"",D17*0.25+E17*0.10+F17*0.20+G17*0.10+(H17/5)*0.10+I17*0.15+(1-J17)*0.10)</x:f>
      </x:c>
      <x:c r="L17" t="str">
        <x:f>IF(K17="","",IF(K17&gt;=0.90,"Preferred",IF(K17&gt;=0.80,"Approved",IF(K17&gt;=0.70,"Conditional",IF(K17&gt;=0.60,"Improvement Required","Replacement Candidate")))))</x:f>
      </x:c>
    </x:row>
    <x:row r="18">
      <x:c r="C18" s="42"/>
      <x:c r="D18" s="44"/>
      <x:c r="E18" s="44"/>
      <x:c r="F18" s="44"/>
      <x:c r="G18" s="44"/>
      <x:c r="I18" s="44"/>
      <x:c r="J18" s="44"/>
      <x:c r="K18" s="44" t="str">
        <x:f>IF(COUNTA(D18:J18)=0,"",D18*0.25+E18*0.10+F18*0.20+G18*0.10+(H18/5)*0.10+I18*0.15+(1-J18)*0.10)</x:f>
      </x:c>
      <x:c r="L18" t="str">
        <x:f>IF(K18="","",IF(K18&gt;=0.90,"Preferred",IF(K18&gt;=0.80,"Approved",IF(K18&gt;=0.70,"Conditional",IF(K18&gt;=0.60,"Improvement Required","Replacement Candidate")))))</x:f>
      </x:c>
    </x:row>
    <x:row r="19">
      <x:c r="C19" s="42"/>
      <x:c r="D19" s="44"/>
      <x:c r="E19" s="44"/>
      <x:c r="F19" s="44"/>
      <x:c r="G19" s="44"/>
      <x:c r="I19" s="44"/>
      <x:c r="J19" s="44"/>
      <x:c r="K19" s="44" t="str">
        <x:f>IF(COUNTA(D19:J19)=0,"",D19*0.25+E19*0.10+F19*0.20+G19*0.10+(H19/5)*0.10+I19*0.15+(1-J19)*0.10)</x:f>
      </x:c>
      <x:c r="L19" t="str">
        <x:f>IF(K19="","",IF(K19&gt;=0.90,"Preferred",IF(K19&gt;=0.80,"Approved",IF(K19&gt;=0.70,"Conditional",IF(K19&gt;=0.60,"Improvement Required","Replacement Candidate")))))</x:f>
      </x:c>
    </x:row>
    <x:row r="20">
      <x:c r="C20" s="42"/>
      <x:c r="D20" s="44"/>
      <x:c r="E20" s="44"/>
      <x:c r="F20" s="44"/>
      <x:c r="G20" s="44"/>
      <x:c r="I20" s="44"/>
      <x:c r="J20" s="44"/>
      <x:c r="K20" s="44" t="str">
        <x:f>IF(COUNTA(D20:J20)=0,"",D20*0.25+E20*0.10+F20*0.20+G20*0.10+(H20/5)*0.10+I20*0.15+(1-J20)*0.10)</x:f>
      </x:c>
      <x:c r="L20" t="str">
        <x:f>IF(K20="","",IF(K20&gt;=0.90,"Preferred",IF(K20&gt;=0.80,"Approved",IF(K20&gt;=0.70,"Conditional",IF(K20&gt;=0.60,"Improvement Required","Replacement Candidate")))))</x:f>
      </x:c>
    </x:row>
    <x:row r="21">
      <x:c r="C21" s="42"/>
      <x:c r="D21" s="44"/>
      <x:c r="E21" s="44"/>
      <x:c r="F21" s="44"/>
      <x:c r="G21" s="44"/>
      <x:c r="I21" s="44"/>
      <x:c r="J21" s="44"/>
      <x:c r="K21" s="44" t="str">
        <x:f>IF(COUNTA(D21:J21)=0,"",D21*0.25+E21*0.10+F21*0.20+G21*0.10+(H21/5)*0.10+I21*0.15+(1-J21)*0.10)</x:f>
      </x:c>
      <x:c r="L21" t="str">
        <x:f>IF(K21="","",IF(K21&gt;=0.90,"Preferred",IF(K21&gt;=0.80,"Approved",IF(K21&gt;=0.70,"Conditional",IF(K21&gt;=0.60,"Improvement Required","Replacement Candidate")))))</x:f>
      </x:c>
    </x:row>
    <x:row r="22">
      <x:c r="C22" s="42"/>
      <x:c r="D22" s="44"/>
      <x:c r="E22" s="44"/>
      <x:c r="F22" s="44"/>
      <x:c r="G22" s="44"/>
      <x:c r="I22" s="44"/>
      <x:c r="J22" s="44"/>
      <x:c r="K22" s="44" t="str">
        <x:f>IF(COUNTA(D22:J22)=0,"",D22*0.25+E22*0.10+F22*0.20+G22*0.10+(H22/5)*0.10+I22*0.15+(1-J22)*0.10)</x:f>
      </x:c>
      <x:c r="L22" t="str">
        <x:f>IF(K22="","",IF(K22&gt;=0.90,"Preferred",IF(K22&gt;=0.80,"Approved",IF(K22&gt;=0.70,"Conditional",IF(K22&gt;=0.60,"Improvement Required","Replacement Candidate")))))</x:f>
      </x:c>
    </x:row>
    <x:row r="23">
      <x:c r="C23" s="42"/>
      <x:c r="D23" s="44"/>
      <x:c r="E23" s="44"/>
      <x:c r="F23" s="44"/>
      <x:c r="G23" s="44"/>
      <x:c r="I23" s="44"/>
      <x:c r="J23" s="44"/>
      <x:c r="K23" s="44" t="str">
        <x:f>IF(COUNTA(D23:J23)=0,"",D23*0.25+E23*0.10+F23*0.20+G23*0.10+(H23/5)*0.10+I23*0.15+(1-J23)*0.10)</x:f>
      </x:c>
      <x:c r="L23" t="str">
        <x:f>IF(K23="","",IF(K23&gt;=0.90,"Preferred",IF(K23&gt;=0.80,"Approved",IF(K23&gt;=0.70,"Conditional",IF(K23&gt;=0.60,"Improvement Required","Replacement Candidate")))))</x:f>
      </x:c>
    </x:row>
    <x:row r="24">
      <x:c r="C24" s="42"/>
      <x:c r="D24" s="44"/>
      <x:c r="E24" s="44"/>
      <x:c r="F24" s="44"/>
      <x:c r="G24" s="44"/>
      <x:c r="I24" s="44"/>
      <x:c r="J24" s="44"/>
      <x:c r="K24" s="44" t="str">
        <x:f>IF(COUNTA(D24:J24)=0,"",D24*0.25+E24*0.10+F24*0.20+G24*0.10+(H24/5)*0.10+I24*0.15+(1-J24)*0.10)</x:f>
      </x:c>
      <x:c r="L24" t="str">
        <x:f>IF(K24="","",IF(K24&gt;=0.90,"Preferred",IF(K24&gt;=0.80,"Approved",IF(K24&gt;=0.70,"Conditional",IF(K24&gt;=0.60,"Improvement Required","Replacement Candidate")))))</x:f>
      </x:c>
    </x:row>
    <x:row r="25">
      <x:c r="C25" s="42"/>
      <x:c r="D25" s="44"/>
      <x:c r="E25" s="44"/>
      <x:c r="F25" s="44"/>
      <x:c r="G25" s="44"/>
      <x:c r="I25" s="44"/>
      <x:c r="J25" s="44"/>
      <x:c r="K25" s="44" t="str">
        <x:f>IF(COUNTA(D25:J25)=0,"",D25*0.25+E25*0.10+F25*0.20+G25*0.10+(H25/5)*0.10+I25*0.15+(1-J25)*0.10)</x:f>
      </x:c>
      <x:c r="L25" t="str">
        <x:f>IF(K25="","",IF(K25&gt;=0.90,"Preferred",IF(K25&gt;=0.80,"Approved",IF(K25&gt;=0.70,"Conditional",IF(K25&gt;=0.60,"Improvement Required","Replacement Candidate")))))</x:f>
      </x:c>
    </x:row>
    <x:row r="26">
      <x:c r="C26" s="42"/>
      <x:c r="D26" s="44"/>
      <x:c r="E26" s="44"/>
      <x:c r="F26" s="44"/>
      <x:c r="G26" s="44"/>
      <x:c r="I26" s="44"/>
      <x:c r="J26" s="44"/>
      <x:c r="K26" s="44" t="str">
        <x:f>IF(COUNTA(D26:J26)=0,"",D26*0.25+E26*0.10+F26*0.20+G26*0.10+(H26/5)*0.10+I26*0.15+(1-J26)*0.10)</x:f>
      </x:c>
      <x:c r="L26" t="str">
        <x:f>IF(K26="","",IF(K26&gt;=0.90,"Preferred",IF(K26&gt;=0.80,"Approved",IF(K26&gt;=0.70,"Conditional",IF(K26&gt;=0.60,"Improvement Required","Replacement Candidate")))))</x:f>
      </x:c>
    </x:row>
    <x:row r="27">
      <x:c r="C27" s="42"/>
      <x:c r="D27" s="44"/>
      <x:c r="E27" s="44"/>
      <x:c r="F27" s="44"/>
      <x:c r="G27" s="44"/>
      <x:c r="I27" s="44"/>
      <x:c r="J27" s="44"/>
      <x:c r="K27" s="44" t="str">
        <x:f>IF(COUNTA(D27:J27)=0,"",D27*0.25+E27*0.10+F27*0.20+G27*0.10+(H27/5)*0.10+I27*0.15+(1-J27)*0.10)</x:f>
      </x:c>
      <x:c r="L27" t="str">
        <x:f>IF(K27="","",IF(K27&gt;=0.90,"Preferred",IF(K27&gt;=0.80,"Approved",IF(K27&gt;=0.70,"Conditional",IF(K27&gt;=0.60,"Improvement Required","Replacement Candidate")))))</x:f>
      </x:c>
    </x:row>
    <x:row r="28">
      <x:c r="C28" s="42"/>
      <x:c r="D28" s="44"/>
      <x:c r="E28" s="44"/>
      <x:c r="F28" s="44"/>
      <x:c r="G28" s="44"/>
      <x:c r="I28" s="44"/>
      <x:c r="J28" s="44"/>
      <x:c r="K28" s="44" t="str">
        <x:f>IF(COUNTA(D28:J28)=0,"",D28*0.25+E28*0.10+F28*0.20+G28*0.10+(H28/5)*0.10+I28*0.15+(1-J28)*0.10)</x:f>
      </x:c>
      <x:c r="L28" t="str">
        <x:f>IF(K28="","",IF(K28&gt;=0.90,"Preferred",IF(K28&gt;=0.80,"Approved",IF(K28&gt;=0.70,"Conditional",IF(K28&gt;=0.60,"Improvement Required","Replacement Candidate")))))</x:f>
      </x:c>
    </x:row>
    <x:row r="29">
      <x:c r="C29" s="42"/>
      <x:c r="D29" s="44"/>
      <x:c r="E29" s="44"/>
      <x:c r="F29" s="44"/>
      <x:c r="G29" s="44"/>
      <x:c r="I29" s="44"/>
      <x:c r="J29" s="44"/>
      <x:c r="K29" s="44" t="str">
        <x:f>IF(COUNTA(D29:J29)=0,"",D29*0.25+E29*0.10+F29*0.20+G29*0.10+(H29/5)*0.10+I29*0.15+(1-J29)*0.10)</x:f>
      </x:c>
      <x:c r="L29" t="str">
        <x:f>IF(K29="","",IF(K29&gt;=0.90,"Preferred",IF(K29&gt;=0.80,"Approved",IF(K29&gt;=0.70,"Conditional",IF(K29&gt;=0.60,"Improvement Required","Replacement Candidate")))))</x:f>
      </x:c>
    </x:row>
    <x:row r="30">
      <x:c r="C30" s="42"/>
      <x:c r="D30" s="44"/>
      <x:c r="E30" s="44"/>
      <x:c r="F30" s="44"/>
      <x:c r="G30" s="44"/>
      <x:c r="I30" s="44"/>
      <x:c r="J30" s="44"/>
      <x:c r="K30" s="44" t="str">
        <x:f>IF(COUNTA(D30:J30)=0,"",D30*0.25+E30*0.10+F30*0.20+G30*0.10+(H30/5)*0.10+I30*0.15+(1-J30)*0.10)</x:f>
      </x:c>
      <x:c r="L30" t="str">
        <x:f>IF(K30="","",IF(K30&gt;=0.90,"Preferred",IF(K30&gt;=0.80,"Approved",IF(K30&gt;=0.70,"Conditional",IF(K30&gt;=0.60,"Improvement Required","Replacement Candidate")))))</x:f>
      </x:c>
    </x:row>
    <x:row r="31">
      <x:c r="C31" s="42"/>
      <x:c r="D31" s="44"/>
      <x:c r="E31" s="44"/>
      <x:c r="F31" s="44"/>
      <x:c r="G31" s="44"/>
      <x:c r="I31" s="44"/>
      <x:c r="J31" s="44"/>
      <x:c r="K31" s="44" t="str">
        <x:f>IF(COUNTA(D31:J31)=0,"",D31*0.25+E31*0.10+F31*0.20+G31*0.10+(H31/5)*0.10+I31*0.15+(1-J31)*0.10)</x:f>
      </x:c>
      <x:c r="L31" t="str">
        <x:f>IF(K31="","",IF(K31&gt;=0.90,"Preferred",IF(K31&gt;=0.80,"Approved",IF(K31&gt;=0.70,"Conditional",IF(K31&gt;=0.60,"Improvement Required","Replacement Candidate")))))</x:f>
      </x:c>
    </x:row>
    <x:row r="32">
      <x:c r="C32" s="42"/>
      <x:c r="D32" s="44"/>
      <x:c r="E32" s="44"/>
      <x:c r="F32" s="44"/>
      <x:c r="G32" s="44"/>
      <x:c r="I32" s="44"/>
      <x:c r="J32" s="44"/>
      <x:c r="K32" s="44" t="str">
        <x:f>IF(COUNTA(D32:J32)=0,"",D32*0.25+E32*0.10+F32*0.20+G32*0.10+(H32/5)*0.10+I32*0.15+(1-J32)*0.10)</x:f>
      </x:c>
      <x:c r="L32" t="str">
        <x:f>IF(K32="","",IF(K32&gt;=0.90,"Preferred",IF(K32&gt;=0.80,"Approved",IF(K32&gt;=0.70,"Conditional",IF(K32&gt;=0.60,"Improvement Required","Replacement Candidate")))))</x:f>
      </x:c>
    </x:row>
    <x:row r="33">
      <x:c r="C33" s="42"/>
      <x:c r="D33" s="44"/>
      <x:c r="E33" s="44"/>
      <x:c r="F33" s="44"/>
      <x:c r="G33" s="44"/>
      <x:c r="I33" s="44"/>
      <x:c r="J33" s="44"/>
      <x:c r="K33" s="44" t="str">
        <x:f>IF(COUNTA(D33:J33)=0,"",D33*0.25+E33*0.10+F33*0.20+G33*0.10+(H33/5)*0.10+I33*0.15+(1-J33)*0.10)</x:f>
      </x:c>
      <x:c r="L33" t="str">
        <x:f>IF(K33="","",IF(K33&gt;=0.90,"Preferred",IF(K33&gt;=0.80,"Approved",IF(K33&gt;=0.70,"Conditional",IF(K33&gt;=0.60,"Improvement Required","Replacement Candidate")))))</x:f>
      </x:c>
    </x:row>
    <x:row r="34">
      <x:c r="C34" s="42"/>
      <x:c r="D34" s="44"/>
      <x:c r="E34" s="44"/>
      <x:c r="F34" s="44"/>
      <x:c r="G34" s="44"/>
      <x:c r="I34" s="44"/>
      <x:c r="J34" s="44"/>
      <x:c r="K34" s="44" t="str">
        <x:f>IF(COUNTA(D34:J34)=0,"",D34*0.25+E34*0.10+F34*0.20+G34*0.10+(H34/5)*0.10+I34*0.15+(1-J34)*0.10)</x:f>
      </x:c>
      <x:c r="L34" t="str">
        <x:f>IF(K34="","",IF(K34&gt;=0.90,"Preferred",IF(K34&gt;=0.80,"Approved",IF(K34&gt;=0.70,"Conditional",IF(K34&gt;=0.60,"Improvement Required","Replacement Candidate")))))</x:f>
      </x:c>
    </x:row>
    <x:row r="35">
      <x:c r="C35" s="42"/>
      <x:c r="D35" s="44"/>
      <x:c r="E35" s="44"/>
      <x:c r="F35" s="44"/>
      <x:c r="G35" s="44"/>
      <x:c r="I35" s="44"/>
      <x:c r="J35" s="44"/>
      <x:c r="K35" s="44" t="str">
        <x:f>IF(COUNTA(D35:J35)=0,"",D35*0.25+E35*0.10+F35*0.20+G35*0.10+(H35/5)*0.10+I35*0.15+(1-J35)*0.10)</x:f>
      </x:c>
      <x:c r="L35" t="str">
        <x:f>IF(K35="","",IF(K35&gt;=0.90,"Preferred",IF(K35&gt;=0.80,"Approved",IF(K35&gt;=0.70,"Conditional",IF(K35&gt;=0.60,"Improvement Required","Replacement Candidate")))))</x:f>
      </x:c>
    </x:row>
    <x:row r="36">
      <x:c r="C36" s="42"/>
      <x:c r="D36" s="44"/>
      <x:c r="E36" s="44"/>
      <x:c r="F36" s="44"/>
      <x:c r="G36" s="44"/>
      <x:c r="I36" s="44"/>
      <x:c r="J36" s="44"/>
      <x:c r="K36" s="44" t="str">
        <x:f>IF(COUNTA(D36:J36)=0,"",D36*0.25+E36*0.10+F36*0.20+G36*0.10+(H36/5)*0.10+I36*0.15+(1-J36)*0.10)</x:f>
      </x:c>
      <x:c r="L36" t="str">
        <x:f>IF(K36="","",IF(K36&gt;=0.90,"Preferred",IF(K36&gt;=0.80,"Approved",IF(K36&gt;=0.70,"Conditional",IF(K36&gt;=0.60,"Improvement Required","Replacement Candidate")))))</x:f>
      </x:c>
    </x:row>
    <x:row r="37">
      <x:c r="C37" s="42"/>
      <x:c r="D37" s="44"/>
      <x:c r="E37" s="44"/>
      <x:c r="F37" s="44"/>
      <x:c r="G37" s="44"/>
      <x:c r="I37" s="44"/>
      <x:c r="J37" s="44"/>
      <x:c r="K37" s="44" t="str">
        <x:f>IF(COUNTA(D37:J37)=0,"",D37*0.25+E37*0.10+F37*0.20+G37*0.10+(H37/5)*0.10+I37*0.15+(1-J37)*0.10)</x:f>
      </x:c>
      <x:c r="L37" t="str">
        <x:f>IF(K37="","",IF(K37&gt;=0.90,"Preferred",IF(K37&gt;=0.80,"Approved",IF(K37&gt;=0.70,"Conditional",IF(K37&gt;=0.60,"Improvement Required","Replacement Candidate")))))</x:f>
      </x:c>
    </x:row>
    <x:row r="38">
      <x:c r="C38" s="42"/>
      <x:c r="D38" s="44"/>
      <x:c r="E38" s="44"/>
      <x:c r="F38" s="44"/>
      <x:c r="G38" s="44"/>
      <x:c r="I38" s="44"/>
      <x:c r="J38" s="44"/>
      <x:c r="K38" s="44" t="str">
        <x:f>IF(COUNTA(D38:J38)=0,"",D38*0.25+E38*0.10+F38*0.20+G38*0.10+(H38/5)*0.10+I38*0.15+(1-J38)*0.10)</x:f>
      </x:c>
      <x:c r="L38" t="str">
        <x:f>IF(K38="","",IF(K38&gt;=0.90,"Preferred",IF(K38&gt;=0.80,"Approved",IF(K38&gt;=0.70,"Conditional",IF(K38&gt;=0.60,"Improvement Required","Replacement Candidate")))))</x:f>
      </x:c>
    </x:row>
    <x:row r="39">
      <x:c r="C39" s="42"/>
      <x:c r="D39" s="44"/>
      <x:c r="E39" s="44"/>
      <x:c r="F39" s="44"/>
      <x:c r="G39" s="44"/>
      <x:c r="I39" s="44"/>
      <x:c r="J39" s="44"/>
      <x:c r="K39" s="44" t="str">
        <x:f>IF(COUNTA(D39:J39)=0,"",D39*0.25+E39*0.10+F39*0.20+G39*0.10+(H39/5)*0.10+I39*0.15+(1-J39)*0.10)</x:f>
      </x:c>
      <x:c r="L39" t="str">
        <x:f>IF(K39="","",IF(K39&gt;=0.90,"Preferred",IF(K39&gt;=0.80,"Approved",IF(K39&gt;=0.70,"Conditional",IF(K39&gt;=0.60,"Improvement Required","Replacement Candidate")))))</x:f>
      </x:c>
    </x:row>
    <x:row r="40">
      <x:c r="C40" s="42"/>
      <x:c r="D40" s="44"/>
      <x:c r="E40" s="44"/>
      <x:c r="F40" s="44"/>
      <x:c r="G40" s="44"/>
      <x:c r="I40" s="44"/>
      <x:c r="J40" s="44"/>
      <x:c r="K40" s="44" t="str">
        <x:f>IF(COUNTA(D40:J40)=0,"",D40*0.25+E40*0.10+F40*0.20+G40*0.10+(H40/5)*0.10+I40*0.15+(1-J40)*0.10)</x:f>
      </x:c>
      <x:c r="L40" t="str">
        <x:f>IF(K40="","",IF(K40&gt;=0.90,"Preferred",IF(K40&gt;=0.80,"Approved",IF(K40&gt;=0.70,"Conditional",IF(K40&gt;=0.60,"Improvement Required","Replacement Candidate")))))</x:f>
      </x:c>
    </x:row>
    <x:row r="41">
      <x:c r="C41" s="42"/>
      <x:c r="D41" s="44"/>
      <x:c r="E41" s="44"/>
      <x:c r="F41" s="44"/>
      <x:c r="G41" s="44"/>
      <x:c r="I41" s="44"/>
      <x:c r="J41" s="44"/>
      <x:c r="K41" s="44" t="str">
        <x:f>IF(COUNTA(D41:J41)=0,"",D41*0.25+E41*0.10+F41*0.20+G41*0.10+(H41/5)*0.10+I41*0.15+(1-J41)*0.10)</x:f>
      </x:c>
      <x:c r="L41" t="str">
        <x:f>IF(K41="","",IF(K41&gt;=0.90,"Preferred",IF(K41&gt;=0.80,"Approved",IF(K41&gt;=0.70,"Conditional",IF(K41&gt;=0.60,"Improvement Required","Replacement Candidate")))))</x:f>
      </x:c>
    </x:row>
    <x:row r="42">
      <x:c r="C42" s="42"/>
      <x:c r="D42" s="44"/>
      <x:c r="E42" s="44"/>
      <x:c r="F42" s="44"/>
      <x:c r="G42" s="44"/>
      <x:c r="I42" s="44"/>
      <x:c r="J42" s="44"/>
      <x:c r="K42" s="44" t="str">
        <x:f>IF(COUNTA(D42:J42)=0,"",D42*0.25+E42*0.10+F42*0.20+G42*0.10+(H42/5)*0.10+I42*0.15+(1-J42)*0.10)</x:f>
      </x:c>
      <x:c r="L42" t="str">
        <x:f>IF(K42="","",IF(K42&gt;=0.90,"Preferred",IF(K42&gt;=0.80,"Approved",IF(K42&gt;=0.70,"Conditional",IF(K42&gt;=0.60,"Improvement Required","Replacement Candidate")))))</x:f>
      </x:c>
    </x:row>
    <x:row r="43">
      <x:c r="C43" s="42"/>
      <x:c r="D43" s="44"/>
      <x:c r="E43" s="44"/>
      <x:c r="F43" s="44"/>
      <x:c r="G43" s="44"/>
      <x:c r="I43" s="44"/>
      <x:c r="J43" s="44"/>
      <x:c r="K43" s="44" t="str">
        <x:f>IF(COUNTA(D43:J43)=0,"",D43*0.25+E43*0.10+F43*0.20+G43*0.10+(H43/5)*0.10+I43*0.15+(1-J43)*0.10)</x:f>
      </x:c>
      <x:c r="L43" t="str">
        <x:f>IF(K43="","",IF(K43&gt;=0.90,"Preferred",IF(K43&gt;=0.80,"Approved",IF(K43&gt;=0.70,"Conditional",IF(K43&gt;=0.60,"Improvement Required","Replacement Candidate")))))</x:f>
      </x:c>
    </x:row>
    <x:row r="44">
      <x:c r="C44" s="42"/>
      <x:c r="D44" s="44"/>
      <x:c r="E44" s="44"/>
      <x:c r="F44" s="44"/>
      <x:c r="G44" s="44"/>
      <x:c r="I44" s="44"/>
      <x:c r="J44" s="44"/>
      <x:c r="K44" s="44" t="str">
        <x:f>IF(COUNTA(D44:J44)=0,"",D44*0.25+E44*0.10+F44*0.20+G44*0.10+(H44/5)*0.10+I44*0.15+(1-J44)*0.10)</x:f>
      </x:c>
      <x:c r="L44" t="str">
        <x:f>IF(K44="","",IF(K44&gt;=0.90,"Preferred",IF(K44&gt;=0.80,"Approved",IF(K44&gt;=0.70,"Conditional",IF(K44&gt;=0.60,"Improvement Required","Replacement Candidate")))))</x:f>
      </x:c>
    </x:row>
    <x:row r="45">
      <x:c r="C45" s="42"/>
      <x:c r="D45" s="44"/>
      <x:c r="E45" s="44"/>
      <x:c r="F45" s="44"/>
      <x:c r="G45" s="44"/>
      <x:c r="I45" s="44"/>
      <x:c r="J45" s="44"/>
      <x:c r="K45" s="44" t="str">
        <x:f>IF(COUNTA(D45:J45)=0,"",D45*0.25+E45*0.10+F45*0.20+G45*0.10+(H45/5)*0.10+I45*0.15+(1-J45)*0.10)</x:f>
      </x:c>
      <x:c r="L45" t="str">
        <x:f>IF(K45="","",IF(K45&gt;=0.90,"Preferred",IF(K45&gt;=0.80,"Approved",IF(K45&gt;=0.70,"Conditional",IF(K45&gt;=0.60,"Improvement Required","Replacement Candidate")))))</x:f>
      </x:c>
    </x:row>
    <x:row r="46">
      <x:c r="C46" s="42"/>
      <x:c r="D46" s="44"/>
      <x:c r="E46" s="44"/>
      <x:c r="F46" s="44"/>
      <x:c r="G46" s="44"/>
      <x:c r="I46" s="44"/>
      <x:c r="J46" s="44"/>
      <x:c r="K46" s="44" t="str">
        <x:f>IF(COUNTA(D46:J46)=0,"",D46*0.25+E46*0.10+F46*0.20+G46*0.10+(H46/5)*0.10+I46*0.15+(1-J46)*0.10)</x:f>
      </x:c>
      <x:c r="L46" t="str">
        <x:f>IF(K46="","",IF(K46&gt;=0.90,"Preferred",IF(K46&gt;=0.80,"Approved",IF(K46&gt;=0.70,"Conditional",IF(K46&gt;=0.60,"Improvement Required","Replacement Candidate")))))</x:f>
      </x:c>
    </x:row>
    <x:row r="47">
      <x:c r="C47" s="42"/>
      <x:c r="D47" s="44"/>
      <x:c r="E47" s="44"/>
      <x:c r="F47" s="44"/>
      <x:c r="G47" s="44"/>
      <x:c r="I47" s="44"/>
      <x:c r="J47" s="44"/>
      <x:c r="K47" s="44" t="str">
        <x:f>IF(COUNTA(D47:J47)=0,"",D47*0.25+E47*0.10+F47*0.20+G47*0.10+(H47/5)*0.10+I47*0.15+(1-J47)*0.10)</x:f>
      </x:c>
      <x:c r="L47" t="str">
        <x:f>IF(K47="","",IF(K47&gt;=0.90,"Preferred",IF(K47&gt;=0.80,"Approved",IF(K47&gt;=0.70,"Conditional",IF(K47&gt;=0.60,"Improvement Required","Replacement Candidate")))))</x:f>
      </x:c>
    </x:row>
    <x:row r="48">
      <x:c r="C48" s="42"/>
      <x:c r="D48" s="44"/>
      <x:c r="E48" s="44"/>
      <x:c r="F48" s="44"/>
      <x:c r="G48" s="44"/>
      <x:c r="I48" s="44"/>
      <x:c r="J48" s="44"/>
      <x:c r="K48" s="44" t="str">
        <x:f>IF(COUNTA(D48:J48)=0,"",D48*0.25+E48*0.10+F48*0.20+G48*0.10+(H48/5)*0.10+I48*0.15+(1-J48)*0.10)</x:f>
      </x:c>
      <x:c r="L48" t="str">
        <x:f>IF(K48="","",IF(K48&gt;=0.90,"Preferred",IF(K48&gt;=0.80,"Approved",IF(K48&gt;=0.70,"Conditional",IF(K48&gt;=0.60,"Improvement Required","Replacement Candidate")))))</x:f>
      </x:c>
    </x:row>
    <x:row r="49">
      <x:c r="C49" s="42"/>
      <x:c r="D49" s="44"/>
      <x:c r="E49" s="44"/>
      <x:c r="F49" s="44"/>
      <x:c r="G49" s="44"/>
      <x:c r="I49" s="44"/>
      <x:c r="J49" s="44"/>
      <x:c r="K49" s="44" t="str">
        <x:f>IF(COUNTA(D49:J49)=0,"",D49*0.25+E49*0.10+F49*0.20+G49*0.10+(H49/5)*0.10+I49*0.15+(1-J49)*0.10)</x:f>
      </x:c>
      <x:c r="L49" t="str">
        <x:f>IF(K49="","",IF(K49&gt;=0.90,"Preferred",IF(K49&gt;=0.80,"Approved",IF(K49&gt;=0.70,"Conditional",IF(K49&gt;=0.60,"Improvement Required","Replacement Candidate")))))</x:f>
      </x:c>
    </x:row>
    <x:row r="50">
      <x:c r="C50" s="42"/>
      <x:c r="D50" s="44"/>
      <x:c r="E50" s="44"/>
      <x:c r="F50" s="44"/>
      <x:c r="G50" s="44"/>
      <x:c r="I50" s="44"/>
      <x:c r="J50" s="44"/>
      <x:c r="K50" s="44" t="str">
        <x:f>IF(COUNTA(D50:J50)=0,"",D50*0.25+E50*0.10+F50*0.20+G50*0.10+(H50/5)*0.10+I50*0.15+(1-J50)*0.10)</x:f>
      </x:c>
      <x:c r="L50" t="str">
        <x:f>IF(K50="","",IF(K50&gt;=0.90,"Preferred",IF(K50&gt;=0.80,"Approved",IF(K50&gt;=0.70,"Conditional",IF(K50&gt;=0.60,"Improvement Required","Replacement Candidate")))))</x:f>
      </x:c>
    </x:row>
    <x:row r="51">
      <x:c r="C51" s="42"/>
      <x:c r="D51" s="44"/>
      <x:c r="E51" s="44"/>
      <x:c r="F51" s="44"/>
      <x:c r="G51" s="44"/>
      <x:c r="I51" s="44"/>
      <x:c r="J51" s="44"/>
      <x:c r="K51" s="44" t="str">
        <x:f>IF(COUNTA(D51:J51)=0,"",D51*0.25+E51*0.10+F51*0.20+G51*0.10+(H51/5)*0.10+I51*0.15+(1-J51)*0.10)</x:f>
      </x:c>
      <x:c r="L51" t="str">
        <x:f>IF(K51="","",IF(K51&gt;=0.90,"Preferred",IF(K51&gt;=0.80,"Approved",IF(K51&gt;=0.70,"Conditional",IF(K51&gt;=0.60,"Improvement Required","Replacement Candidate")))))</x:f>
      </x:c>
    </x:row>
    <x:row r="52">
      <x:c r="C52" s="42"/>
      <x:c r="D52" s="44"/>
      <x:c r="E52" s="44"/>
      <x:c r="F52" s="44"/>
      <x:c r="G52" s="44"/>
      <x:c r="I52" s="44"/>
      <x:c r="J52" s="44"/>
      <x:c r="K52" s="44" t="str">
        <x:f>IF(COUNTA(D52:J52)=0,"",D52*0.25+E52*0.10+F52*0.20+G52*0.10+(H52/5)*0.10+I52*0.15+(1-J52)*0.10)</x:f>
      </x:c>
      <x:c r="L52" t="str">
        <x:f>IF(K52="","",IF(K52&gt;=0.90,"Preferred",IF(K52&gt;=0.80,"Approved",IF(K52&gt;=0.70,"Conditional",IF(K52&gt;=0.60,"Improvement Required","Replacement Candidate")))))</x:f>
      </x:c>
    </x:row>
    <x:row r="53">
      <x:c r="C53" s="42"/>
      <x:c r="D53" s="44"/>
      <x:c r="E53" s="44"/>
      <x:c r="F53" s="44"/>
      <x:c r="G53" s="44"/>
      <x:c r="I53" s="44"/>
      <x:c r="J53" s="44"/>
      <x:c r="K53" s="44" t="str">
        <x:f>IF(COUNTA(D53:J53)=0,"",D53*0.25+E53*0.10+F53*0.20+G53*0.10+(H53/5)*0.10+I53*0.15+(1-J53)*0.10)</x:f>
      </x:c>
      <x:c r="L53" t="str">
        <x:f>IF(K53="","",IF(K53&gt;=0.90,"Preferred",IF(K53&gt;=0.80,"Approved",IF(K53&gt;=0.70,"Conditional",IF(K53&gt;=0.60,"Improvement Required","Replacement Candidate")))))</x:f>
      </x:c>
    </x:row>
    <x:row r="54">
      <x:c r="C54" s="42"/>
      <x:c r="D54" s="44"/>
      <x:c r="E54" s="44"/>
      <x:c r="F54" s="44"/>
      <x:c r="G54" s="44"/>
      <x:c r="I54" s="44"/>
      <x:c r="J54" s="44"/>
      <x:c r="K54" s="44" t="str">
        <x:f>IF(COUNTA(D54:J54)=0,"",D54*0.25+E54*0.10+F54*0.20+G54*0.10+(H54/5)*0.10+I54*0.15+(1-J54)*0.10)</x:f>
      </x:c>
      <x:c r="L54" t="str">
        <x:f>IF(K54="","",IF(K54&gt;=0.90,"Preferred",IF(K54&gt;=0.80,"Approved",IF(K54&gt;=0.70,"Conditional",IF(K54&gt;=0.60,"Improvement Required","Replacement Candidate")))))</x:f>
      </x:c>
    </x:row>
    <x:row r="55">
      <x:c r="C55" s="42"/>
      <x:c r="D55" s="44"/>
      <x:c r="E55" s="44"/>
      <x:c r="F55" s="44"/>
      <x:c r="G55" s="44"/>
      <x:c r="I55" s="44"/>
      <x:c r="J55" s="44"/>
      <x:c r="K55" s="44" t="str">
        <x:f>IF(COUNTA(D55:J55)=0,"",D55*0.25+E55*0.10+F55*0.20+G55*0.10+(H55/5)*0.10+I55*0.15+(1-J55)*0.10)</x:f>
      </x:c>
      <x:c r="L55" t="str">
        <x:f>IF(K55="","",IF(K55&gt;=0.90,"Preferred",IF(K55&gt;=0.80,"Approved",IF(K55&gt;=0.70,"Conditional",IF(K55&gt;=0.60,"Improvement Required","Replacement Candidate")))))</x:f>
      </x:c>
    </x:row>
    <x:row r="56">
      <x:c r="C56" s="42"/>
      <x:c r="D56" s="44"/>
      <x:c r="E56" s="44"/>
      <x:c r="F56" s="44"/>
      <x:c r="G56" s="44"/>
      <x:c r="I56" s="44"/>
      <x:c r="J56" s="44"/>
      <x:c r="K56" s="44" t="str">
        <x:f>IF(COUNTA(D56:J56)=0,"",D56*0.25+E56*0.10+F56*0.20+G56*0.10+(H56/5)*0.10+I56*0.15+(1-J56)*0.10)</x:f>
      </x:c>
      <x:c r="L56" t="str">
        <x:f>IF(K56="","",IF(K56&gt;=0.90,"Preferred",IF(K56&gt;=0.80,"Approved",IF(K56&gt;=0.70,"Conditional",IF(K56&gt;=0.60,"Improvement Required","Replacement Candidate")))))</x:f>
      </x:c>
    </x:row>
    <x:row r="57">
      <x:c r="C57" s="42"/>
      <x:c r="D57" s="44"/>
      <x:c r="E57" s="44"/>
      <x:c r="F57" s="44"/>
      <x:c r="G57" s="44"/>
      <x:c r="I57" s="44"/>
      <x:c r="J57" s="44"/>
      <x:c r="K57" s="44" t="str">
        <x:f>IF(COUNTA(D57:J57)=0,"",D57*0.25+E57*0.10+F57*0.20+G57*0.10+(H57/5)*0.10+I57*0.15+(1-J57)*0.10)</x:f>
      </x:c>
      <x:c r="L57" t="str">
        <x:f>IF(K57="","",IF(K57&gt;=0.90,"Preferred",IF(K57&gt;=0.80,"Approved",IF(K57&gt;=0.70,"Conditional",IF(K57&gt;=0.60,"Improvement Required","Replacement Candidate")))))</x:f>
      </x:c>
    </x:row>
    <x:row r="58">
      <x:c r="C58" s="42"/>
      <x:c r="D58" s="44"/>
      <x:c r="E58" s="44"/>
      <x:c r="F58" s="44"/>
      <x:c r="G58" s="44"/>
      <x:c r="I58" s="44"/>
      <x:c r="J58" s="44"/>
      <x:c r="K58" s="44" t="str">
        <x:f>IF(COUNTA(D58:J58)=0,"",D58*0.25+E58*0.10+F58*0.20+G58*0.10+(H58/5)*0.10+I58*0.15+(1-J58)*0.10)</x:f>
      </x:c>
      <x:c r="L58" t="str">
        <x:f>IF(K58="","",IF(K58&gt;=0.90,"Preferred",IF(K58&gt;=0.80,"Approved",IF(K58&gt;=0.70,"Conditional",IF(K58&gt;=0.60,"Improvement Required","Replacement Candidate")))))</x:f>
      </x:c>
    </x:row>
    <x:row r="59">
      <x:c r="C59" s="42"/>
      <x:c r="D59" s="44"/>
      <x:c r="E59" s="44"/>
      <x:c r="F59" s="44"/>
      <x:c r="G59" s="44"/>
      <x:c r="I59" s="44"/>
      <x:c r="J59" s="44"/>
      <x:c r="K59" s="44" t="str">
        <x:f>IF(COUNTA(D59:J59)=0,"",D59*0.25+E59*0.10+F59*0.20+G59*0.10+(H59/5)*0.10+I59*0.15+(1-J59)*0.10)</x:f>
      </x:c>
      <x:c r="L59" t="str">
        <x:f>IF(K59="","",IF(K59&gt;=0.90,"Preferred",IF(K59&gt;=0.80,"Approved",IF(K59&gt;=0.70,"Conditional",IF(K59&gt;=0.60,"Improvement Required","Replacement Candidate")))))</x:f>
      </x:c>
    </x:row>
    <x:row r="60">
      <x:c r="C60" s="42"/>
      <x:c r="D60" s="44"/>
      <x:c r="E60" s="44"/>
      <x:c r="F60" s="44"/>
      <x:c r="G60" s="44"/>
      <x:c r="I60" s="44"/>
      <x:c r="J60" s="44"/>
      <x:c r="K60" s="44" t="str">
        <x:f>IF(COUNTA(D60:J60)=0,"",D60*0.25+E60*0.10+F60*0.20+G60*0.10+(H60/5)*0.10+I60*0.15+(1-J60)*0.10)</x:f>
      </x:c>
      <x:c r="L60" t="str">
        <x:f>IF(K60="","",IF(K60&gt;=0.90,"Preferred",IF(K60&gt;=0.80,"Approved",IF(K60&gt;=0.70,"Conditional",IF(K60&gt;=0.60,"Improvement Required","Replacement Candidate")))))</x:f>
      </x:c>
    </x:row>
    <x:row r="61">
      <x:c r="C61" s="42"/>
      <x:c r="D61" s="44"/>
      <x:c r="E61" s="44"/>
      <x:c r="F61" s="44"/>
      <x:c r="G61" s="44"/>
      <x:c r="I61" s="44"/>
      <x:c r="J61" s="44"/>
      <x:c r="K61" s="44" t="str">
        <x:f>IF(COUNTA(D61:J61)=0,"",D61*0.25+E61*0.10+F61*0.20+G61*0.10+(H61/5)*0.10+I61*0.15+(1-J61)*0.10)</x:f>
      </x:c>
      <x:c r="L61" t="str">
        <x:f>IF(K61="","",IF(K61&gt;=0.90,"Preferred",IF(K61&gt;=0.80,"Approved",IF(K61&gt;=0.70,"Conditional",IF(K61&gt;=0.60,"Improvement Required","Replacement Candidate")))))</x:f>
      </x:c>
    </x:row>
    <x:row r="62">
      <x:c r="C62" s="42"/>
      <x:c r="D62" s="44"/>
      <x:c r="E62" s="44"/>
      <x:c r="F62" s="44"/>
      <x:c r="G62" s="44"/>
      <x:c r="I62" s="44"/>
      <x:c r="J62" s="44"/>
      <x:c r="K62" s="44" t="str">
        <x:f>IF(COUNTA(D62:J62)=0,"",D62*0.25+E62*0.10+F62*0.20+G62*0.10+(H62/5)*0.10+I62*0.15+(1-J62)*0.10)</x:f>
      </x:c>
      <x:c r="L62" t="str">
        <x:f>IF(K62="","",IF(K62&gt;=0.90,"Preferred",IF(K62&gt;=0.80,"Approved",IF(K62&gt;=0.70,"Conditional",IF(K62&gt;=0.60,"Improvement Required","Replacement Candidate")))))</x:f>
      </x:c>
    </x:row>
    <x:row r="63">
      <x:c r="C63" s="42"/>
      <x:c r="D63" s="44"/>
      <x:c r="E63" s="44"/>
      <x:c r="F63" s="44"/>
      <x:c r="G63" s="44"/>
      <x:c r="I63" s="44"/>
      <x:c r="J63" s="44"/>
      <x:c r="K63" s="44" t="str">
        <x:f>IF(COUNTA(D63:J63)=0,"",D63*0.25+E63*0.10+F63*0.20+G63*0.10+(H63/5)*0.10+I63*0.15+(1-J63)*0.10)</x:f>
      </x:c>
      <x:c r="L63" t="str">
        <x:f>IF(K63="","",IF(K63&gt;=0.90,"Preferred",IF(K63&gt;=0.80,"Approved",IF(K63&gt;=0.70,"Conditional",IF(K63&gt;=0.60,"Improvement Required","Replacement Candidate")))))</x:f>
      </x:c>
    </x:row>
    <x:row r="64">
      <x:c r="C64" s="42"/>
      <x:c r="D64" s="44"/>
      <x:c r="E64" s="44"/>
      <x:c r="F64" s="44"/>
      <x:c r="G64" s="44"/>
      <x:c r="I64" s="44"/>
      <x:c r="J64" s="44"/>
      <x:c r="K64" s="44" t="str">
        <x:f>IF(COUNTA(D64:J64)=0,"",D64*0.25+E64*0.10+F64*0.20+G64*0.10+(H64/5)*0.10+I64*0.15+(1-J64)*0.10)</x:f>
      </x:c>
      <x:c r="L64" t="str">
        <x:f>IF(K64="","",IF(K64&gt;=0.90,"Preferred",IF(K64&gt;=0.80,"Approved",IF(K64&gt;=0.70,"Conditional",IF(K64&gt;=0.60,"Improvement Required","Replacement Candidate")))))</x:f>
      </x:c>
    </x:row>
    <x:row r="65">
      <x:c r="C65" s="42"/>
      <x:c r="D65" s="44"/>
      <x:c r="E65" s="44"/>
      <x:c r="F65" s="44"/>
      <x:c r="G65" s="44"/>
      <x:c r="I65" s="44"/>
      <x:c r="J65" s="44"/>
      <x:c r="K65" s="44" t="str">
        <x:f>IF(COUNTA(D65:J65)=0,"",D65*0.25+E65*0.10+F65*0.20+G65*0.10+(H65/5)*0.10+I65*0.15+(1-J65)*0.10)</x:f>
      </x:c>
      <x:c r="L65" t="str">
        <x:f>IF(K65="","",IF(K65&gt;=0.90,"Preferred",IF(K65&gt;=0.80,"Approved",IF(K65&gt;=0.70,"Conditional",IF(K65&gt;=0.60,"Improvement Required","Replacement Candidate")))))</x:f>
      </x:c>
    </x:row>
    <x:row r="66">
      <x:c r="C66" s="42"/>
      <x:c r="D66" s="44"/>
      <x:c r="E66" s="44"/>
      <x:c r="F66" s="44"/>
      <x:c r="G66" s="44"/>
      <x:c r="I66" s="44"/>
      <x:c r="J66" s="44"/>
      <x:c r="K66" s="44" t="str">
        <x:f>IF(COUNTA(D66:J66)=0,"",D66*0.25+E66*0.10+F66*0.20+G66*0.10+(H66/5)*0.10+I66*0.15+(1-J66)*0.10)</x:f>
      </x:c>
      <x:c r="L66" t="str">
        <x:f>IF(K66="","",IF(K66&gt;=0.90,"Preferred",IF(K66&gt;=0.80,"Approved",IF(K66&gt;=0.70,"Conditional",IF(K66&gt;=0.60,"Improvement Required","Replacement Candidate")))))</x:f>
      </x:c>
    </x:row>
    <x:row r="67">
      <x:c r="C67" s="42"/>
      <x:c r="D67" s="44"/>
      <x:c r="E67" s="44"/>
      <x:c r="F67" s="44"/>
      <x:c r="G67" s="44"/>
      <x:c r="I67" s="44"/>
      <x:c r="J67" s="44"/>
      <x:c r="K67" s="44" t="str">
        <x:f>IF(COUNTA(D67:J67)=0,"",D67*0.25+E67*0.10+F67*0.20+G67*0.10+(H67/5)*0.10+I67*0.15+(1-J67)*0.10)</x:f>
      </x:c>
      <x:c r="L67" t="str">
        <x:f>IF(K67="","",IF(K67&gt;=0.90,"Preferred",IF(K67&gt;=0.80,"Approved",IF(K67&gt;=0.70,"Conditional",IF(K67&gt;=0.60,"Improvement Required","Replacement Candidate")))))</x:f>
      </x:c>
    </x:row>
    <x:row r="68">
      <x:c r="C68" s="42"/>
      <x:c r="D68" s="44"/>
      <x:c r="E68" s="44"/>
      <x:c r="F68" s="44"/>
      <x:c r="G68" s="44"/>
      <x:c r="I68" s="44"/>
      <x:c r="J68" s="44"/>
      <x:c r="K68" s="44" t="str">
        <x:f>IF(COUNTA(D68:J68)=0,"",D68*0.25+E68*0.10+F68*0.20+G68*0.10+(H68/5)*0.10+I68*0.15+(1-J68)*0.10)</x:f>
      </x:c>
      <x:c r="L68" t="str">
        <x:f>IF(K68="","",IF(K68&gt;=0.90,"Preferred",IF(K68&gt;=0.80,"Approved",IF(K68&gt;=0.70,"Conditional",IF(K68&gt;=0.60,"Improvement Required","Replacement Candidate")))))</x:f>
      </x:c>
    </x:row>
    <x:row r="69">
      <x:c r="C69" s="42"/>
      <x:c r="D69" s="44"/>
      <x:c r="E69" s="44"/>
      <x:c r="F69" s="44"/>
      <x:c r="G69" s="44"/>
      <x:c r="I69" s="44"/>
      <x:c r="J69" s="44"/>
      <x:c r="K69" s="44" t="str">
        <x:f>IF(COUNTA(D69:J69)=0,"",D69*0.25+E69*0.10+F69*0.20+G69*0.10+(H69/5)*0.10+I69*0.15+(1-J69)*0.10)</x:f>
      </x:c>
      <x:c r="L69" t="str">
        <x:f>IF(K69="","",IF(K69&gt;=0.90,"Preferred",IF(K69&gt;=0.80,"Approved",IF(K69&gt;=0.70,"Conditional",IF(K69&gt;=0.60,"Improvement Required","Replacement Candidate")))))</x:f>
      </x:c>
    </x:row>
    <x:row r="70">
      <x:c r="C70" s="42"/>
      <x:c r="D70" s="44"/>
      <x:c r="E70" s="44"/>
      <x:c r="F70" s="44"/>
      <x:c r="G70" s="44"/>
      <x:c r="I70" s="44"/>
      <x:c r="J70" s="44"/>
      <x:c r="K70" s="44" t="str">
        <x:f>IF(COUNTA(D70:J70)=0,"",D70*0.25+E70*0.10+F70*0.20+G70*0.10+(H70/5)*0.10+I70*0.15+(1-J70)*0.10)</x:f>
      </x:c>
      <x:c r="L70" t="str">
        <x:f>IF(K70="","",IF(K70&gt;=0.90,"Preferred",IF(K70&gt;=0.80,"Approved",IF(K70&gt;=0.70,"Conditional",IF(K70&gt;=0.60,"Improvement Required","Replacement Candidate")))))</x:f>
      </x:c>
    </x:row>
    <x:row r="71">
      <x:c r="C71" s="42"/>
      <x:c r="D71" s="44"/>
      <x:c r="E71" s="44"/>
      <x:c r="F71" s="44"/>
      <x:c r="G71" s="44"/>
      <x:c r="I71" s="44"/>
      <x:c r="J71" s="44"/>
      <x:c r="K71" s="44" t="str">
        <x:f>IF(COUNTA(D71:J71)=0,"",D71*0.25+E71*0.10+F71*0.20+G71*0.10+(H71/5)*0.10+I71*0.15+(1-J71)*0.10)</x:f>
      </x:c>
      <x:c r="L71" t="str">
        <x:f>IF(K71="","",IF(K71&gt;=0.90,"Preferred",IF(K71&gt;=0.80,"Approved",IF(K71&gt;=0.70,"Conditional",IF(K71&gt;=0.60,"Improvement Required","Replacement Candidate")))))</x:f>
      </x:c>
    </x:row>
    <x:row r="72">
      <x:c r="C72" s="42"/>
      <x:c r="D72" s="44"/>
      <x:c r="E72" s="44"/>
      <x:c r="F72" s="44"/>
      <x:c r="G72" s="44"/>
      <x:c r="I72" s="44"/>
      <x:c r="J72" s="44"/>
      <x:c r="K72" s="44" t="str">
        <x:f>IF(COUNTA(D72:J72)=0,"",D72*0.25+E72*0.10+F72*0.20+G72*0.10+(H72/5)*0.10+I72*0.15+(1-J72)*0.10)</x:f>
      </x:c>
      <x:c r="L72" t="str">
        <x:f>IF(K72="","",IF(K72&gt;=0.90,"Preferred",IF(K72&gt;=0.80,"Approved",IF(K72&gt;=0.70,"Conditional",IF(K72&gt;=0.60,"Improvement Required","Replacement Candidate")))))</x:f>
      </x:c>
    </x:row>
    <x:row r="73">
      <x:c r="C73" s="42"/>
      <x:c r="D73" s="44"/>
      <x:c r="E73" s="44"/>
      <x:c r="F73" s="44"/>
      <x:c r="G73" s="44"/>
      <x:c r="I73" s="44"/>
      <x:c r="J73" s="44"/>
      <x:c r="K73" s="44" t="str">
        <x:f>IF(COUNTA(D73:J73)=0,"",D73*0.25+E73*0.10+F73*0.20+G73*0.10+(H73/5)*0.10+I73*0.15+(1-J73)*0.10)</x:f>
      </x:c>
      <x:c r="L73" t="str">
        <x:f>IF(K73="","",IF(K73&gt;=0.90,"Preferred",IF(K73&gt;=0.80,"Approved",IF(K73&gt;=0.70,"Conditional",IF(K73&gt;=0.60,"Improvement Required","Replacement Candidate")))))</x:f>
      </x:c>
    </x:row>
    <x:row r="74">
      <x:c r="C74" s="42"/>
      <x:c r="D74" s="44"/>
      <x:c r="E74" s="44"/>
      <x:c r="F74" s="44"/>
      <x:c r="G74" s="44"/>
      <x:c r="I74" s="44"/>
      <x:c r="J74" s="44"/>
      <x:c r="K74" s="44" t="str">
        <x:f>IF(COUNTA(D74:J74)=0,"",D74*0.25+E74*0.10+F74*0.20+G74*0.10+(H74/5)*0.10+I74*0.15+(1-J74)*0.10)</x:f>
      </x:c>
      <x:c r="L74" t="str">
        <x:f>IF(K74="","",IF(K74&gt;=0.90,"Preferred",IF(K74&gt;=0.80,"Approved",IF(K74&gt;=0.70,"Conditional",IF(K74&gt;=0.60,"Improvement Required","Replacement Candidate")))))</x:f>
      </x:c>
    </x:row>
    <x:row r="75">
      <x:c r="C75" s="42"/>
      <x:c r="D75" s="44"/>
      <x:c r="E75" s="44"/>
      <x:c r="F75" s="44"/>
      <x:c r="G75" s="44"/>
      <x:c r="I75" s="44"/>
      <x:c r="J75" s="44"/>
      <x:c r="K75" s="44" t="str">
        <x:f>IF(COUNTA(D75:J75)=0,"",D75*0.25+E75*0.10+F75*0.20+G75*0.10+(H75/5)*0.10+I75*0.15+(1-J75)*0.10)</x:f>
      </x:c>
      <x:c r="L75" t="str">
        <x:f>IF(K75="","",IF(K75&gt;=0.90,"Preferred",IF(K75&gt;=0.80,"Approved",IF(K75&gt;=0.70,"Conditional",IF(K75&gt;=0.60,"Improvement Required","Replacement Candidate")))))</x:f>
      </x:c>
    </x:row>
    <x:row r="76">
      <x:c r="C76" s="42"/>
      <x:c r="D76" s="44"/>
      <x:c r="E76" s="44"/>
      <x:c r="F76" s="44"/>
      <x:c r="G76" s="44"/>
      <x:c r="I76" s="44"/>
      <x:c r="J76" s="44"/>
      <x:c r="K76" s="44" t="str">
        <x:f>IF(COUNTA(D76:J76)=0,"",D76*0.25+E76*0.10+F76*0.20+G76*0.10+(H76/5)*0.10+I76*0.15+(1-J76)*0.10)</x:f>
      </x:c>
      <x:c r="L76" t="str">
        <x:f>IF(K76="","",IF(K76&gt;=0.90,"Preferred",IF(K76&gt;=0.80,"Approved",IF(K76&gt;=0.70,"Conditional",IF(K76&gt;=0.60,"Improvement Required","Replacement Candidate")))))</x:f>
      </x:c>
    </x:row>
    <x:row r="77">
      <x:c r="C77" s="42"/>
      <x:c r="D77" s="44"/>
      <x:c r="E77" s="44"/>
      <x:c r="F77" s="44"/>
      <x:c r="G77" s="44"/>
      <x:c r="I77" s="44"/>
      <x:c r="J77" s="44"/>
      <x:c r="K77" s="44" t="str">
        <x:f>IF(COUNTA(D77:J77)=0,"",D77*0.25+E77*0.10+F77*0.20+G77*0.10+(H77/5)*0.10+I77*0.15+(1-J77)*0.10)</x:f>
      </x:c>
      <x:c r="L77" t="str">
        <x:f>IF(K77="","",IF(K77&gt;=0.90,"Preferred",IF(K77&gt;=0.80,"Approved",IF(K77&gt;=0.70,"Conditional",IF(K77&gt;=0.60,"Improvement Required","Replacement Candidate")))))</x:f>
      </x:c>
    </x:row>
    <x:row r="78">
      <x:c r="C78" s="42"/>
      <x:c r="D78" s="44"/>
      <x:c r="E78" s="44"/>
      <x:c r="F78" s="44"/>
      <x:c r="G78" s="44"/>
      <x:c r="I78" s="44"/>
      <x:c r="J78" s="44"/>
      <x:c r="K78" s="44" t="str">
        <x:f>IF(COUNTA(D78:J78)=0,"",D78*0.25+E78*0.10+F78*0.20+G78*0.10+(H78/5)*0.10+I78*0.15+(1-J78)*0.10)</x:f>
      </x:c>
      <x:c r="L78" t="str">
        <x:f>IF(K78="","",IF(K78&gt;=0.90,"Preferred",IF(K78&gt;=0.80,"Approved",IF(K78&gt;=0.70,"Conditional",IF(K78&gt;=0.60,"Improvement Required","Replacement Candidate")))))</x:f>
      </x:c>
    </x:row>
    <x:row r="79">
      <x:c r="C79" s="42"/>
      <x:c r="D79" s="44"/>
      <x:c r="E79" s="44"/>
      <x:c r="F79" s="44"/>
      <x:c r="G79" s="44"/>
      <x:c r="I79" s="44"/>
      <x:c r="J79" s="44"/>
      <x:c r="K79" s="44" t="str">
        <x:f>IF(COUNTA(D79:J79)=0,"",D79*0.25+E79*0.10+F79*0.20+G79*0.10+(H79/5)*0.10+I79*0.15+(1-J79)*0.10)</x:f>
      </x:c>
      <x:c r="L79" t="str">
        <x:f>IF(K79="","",IF(K79&gt;=0.90,"Preferred",IF(K79&gt;=0.80,"Approved",IF(K79&gt;=0.70,"Conditional",IF(K79&gt;=0.60,"Improvement Required","Replacement Candidate")))))</x:f>
      </x:c>
    </x:row>
    <x:row r="80">
      <x:c r="C80" s="42"/>
      <x:c r="D80" s="44"/>
      <x:c r="E80" s="44"/>
      <x:c r="F80" s="44"/>
      <x:c r="G80" s="44"/>
      <x:c r="I80" s="44"/>
      <x:c r="J80" s="44"/>
      <x:c r="K80" s="44" t="str">
        <x:f>IF(COUNTA(D80:J80)=0,"",D80*0.25+E80*0.10+F80*0.20+G80*0.10+(H80/5)*0.10+I80*0.15+(1-J80)*0.10)</x:f>
      </x:c>
      <x:c r="L80" t="str">
        <x:f>IF(K80="","",IF(K80&gt;=0.90,"Preferred",IF(K80&gt;=0.80,"Approved",IF(K80&gt;=0.70,"Conditional",IF(K80&gt;=0.60,"Improvement Required","Replacement Candidate")))))</x:f>
      </x:c>
    </x:row>
    <x:row r="81">
      <x:c r="C81" s="42"/>
      <x:c r="D81" s="44"/>
      <x:c r="E81" s="44"/>
      <x:c r="F81" s="44"/>
      <x:c r="G81" s="44"/>
      <x:c r="I81" s="44"/>
      <x:c r="J81" s="44"/>
      <x:c r="K81" s="44" t="str">
        <x:f>IF(COUNTA(D81:J81)=0,"",D81*0.25+E81*0.10+F81*0.20+G81*0.10+(H81/5)*0.10+I81*0.15+(1-J81)*0.10)</x:f>
      </x:c>
      <x:c r="L81" t="str">
        <x:f>IF(K81="","",IF(K81&gt;=0.90,"Preferred",IF(K81&gt;=0.80,"Approved",IF(K81&gt;=0.70,"Conditional",IF(K81&gt;=0.60,"Improvement Required","Replacement Candidate")))))</x:f>
      </x:c>
    </x:row>
    <x:row r="82">
      <x:c r="C82" s="42"/>
      <x:c r="D82" s="44"/>
      <x:c r="E82" s="44"/>
      <x:c r="F82" s="44"/>
      <x:c r="G82" s="44"/>
      <x:c r="I82" s="44"/>
      <x:c r="J82" s="44"/>
      <x:c r="K82" s="44" t="str">
        <x:f>IF(COUNTA(D82:J82)=0,"",D82*0.25+E82*0.10+F82*0.20+G82*0.10+(H82/5)*0.10+I82*0.15+(1-J82)*0.10)</x:f>
      </x:c>
      <x:c r="L82" t="str">
        <x:f>IF(K82="","",IF(K82&gt;=0.90,"Preferred",IF(K82&gt;=0.80,"Approved",IF(K82&gt;=0.70,"Conditional",IF(K82&gt;=0.60,"Improvement Required","Replacement Candidate")))))</x:f>
      </x:c>
    </x:row>
    <x:row r="83">
      <x:c r="C83" s="42"/>
      <x:c r="D83" s="44"/>
      <x:c r="E83" s="44"/>
      <x:c r="F83" s="44"/>
      <x:c r="G83" s="44"/>
      <x:c r="I83" s="44"/>
      <x:c r="J83" s="44"/>
      <x:c r="K83" s="44" t="str">
        <x:f>IF(COUNTA(D83:J83)=0,"",D83*0.25+E83*0.10+F83*0.20+G83*0.10+(H83/5)*0.10+I83*0.15+(1-J83)*0.10)</x:f>
      </x:c>
      <x:c r="L83" t="str">
        <x:f>IF(K83="","",IF(K83&gt;=0.90,"Preferred",IF(K83&gt;=0.80,"Approved",IF(K83&gt;=0.70,"Conditional",IF(K83&gt;=0.60,"Improvement Required","Replacement Candidate")))))</x:f>
      </x:c>
    </x:row>
    <x:row r="84">
      <x:c r="C84" s="42"/>
      <x:c r="D84" s="44"/>
      <x:c r="E84" s="44"/>
      <x:c r="F84" s="44"/>
      <x:c r="G84" s="44"/>
      <x:c r="I84" s="44"/>
      <x:c r="J84" s="44"/>
      <x:c r="K84" s="44" t="str">
        <x:f>IF(COUNTA(D84:J84)=0,"",D84*0.25+E84*0.10+F84*0.20+G84*0.10+(H84/5)*0.10+I84*0.15+(1-J84)*0.10)</x:f>
      </x:c>
      <x:c r="L84" t="str">
        <x:f>IF(K84="","",IF(K84&gt;=0.90,"Preferred",IF(K84&gt;=0.80,"Approved",IF(K84&gt;=0.70,"Conditional",IF(K84&gt;=0.60,"Improvement Required","Replacement Candidate")))))</x:f>
      </x:c>
    </x:row>
    <x:row r="85">
      <x:c r="C85" s="42"/>
      <x:c r="D85" s="44"/>
      <x:c r="E85" s="44"/>
      <x:c r="F85" s="44"/>
      <x:c r="G85" s="44"/>
      <x:c r="I85" s="44"/>
      <x:c r="J85" s="44"/>
      <x:c r="K85" s="44" t="str">
        <x:f>IF(COUNTA(D85:J85)=0,"",D85*0.25+E85*0.10+F85*0.20+G85*0.10+(H85/5)*0.10+I85*0.15+(1-J85)*0.10)</x:f>
      </x:c>
      <x:c r="L85" t="str">
        <x:f>IF(K85="","",IF(K85&gt;=0.90,"Preferred",IF(K85&gt;=0.80,"Approved",IF(K85&gt;=0.70,"Conditional",IF(K85&gt;=0.60,"Improvement Required","Replacement Candidate")))))</x:f>
      </x:c>
    </x:row>
    <x:row r="86">
      <x:c r="C86" s="42"/>
      <x:c r="D86" s="44"/>
      <x:c r="E86" s="44"/>
      <x:c r="F86" s="44"/>
      <x:c r="G86" s="44"/>
      <x:c r="I86" s="44"/>
      <x:c r="J86" s="44"/>
      <x:c r="K86" s="44" t="str">
        <x:f>IF(COUNTA(D86:J86)=0,"",D86*0.25+E86*0.10+F86*0.20+G86*0.10+(H86/5)*0.10+I86*0.15+(1-J86)*0.10)</x:f>
      </x:c>
      <x:c r="L86" t="str">
        <x:f>IF(K86="","",IF(K86&gt;=0.90,"Preferred",IF(K86&gt;=0.80,"Approved",IF(K86&gt;=0.70,"Conditional",IF(K86&gt;=0.60,"Improvement Required","Replacement Candidate")))))</x:f>
      </x:c>
    </x:row>
    <x:row r="87">
      <x:c r="C87" s="42"/>
      <x:c r="D87" s="44"/>
      <x:c r="E87" s="44"/>
      <x:c r="F87" s="44"/>
      <x:c r="G87" s="44"/>
      <x:c r="I87" s="44"/>
      <x:c r="J87" s="44"/>
      <x:c r="K87" s="44" t="str">
        <x:f>IF(COUNTA(D87:J87)=0,"",D87*0.25+E87*0.10+F87*0.20+G87*0.10+(H87/5)*0.10+I87*0.15+(1-J87)*0.10)</x:f>
      </x:c>
      <x:c r="L87" t="str">
        <x:f>IF(K87="","",IF(K87&gt;=0.90,"Preferred",IF(K87&gt;=0.80,"Approved",IF(K87&gt;=0.70,"Conditional",IF(K87&gt;=0.60,"Improvement Required","Replacement Candidate")))))</x:f>
      </x:c>
    </x:row>
    <x:row r="88">
      <x:c r="C88" s="42"/>
      <x:c r="D88" s="44"/>
      <x:c r="E88" s="44"/>
      <x:c r="F88" s="44"/>
      <x:c r="G88" s="44"/>
      <x:c r="I88" s="44"/>
      <x:c r="J88" s="44"/>
      <x:c r="K88" s="44" t="str">
        <x:f>IF(COUNTA(D88:J88)=0,"",D88*0.25+E88*0.10+F88*0.20+G88*0.10+(H88/5)*0.10+I88*0.15+(1-J88)*0.10)</x:f>
      </x:c>
      <x:c r="L88" t="str">
        <x:f>IF(K88="","",IF(K88&gt;=0.90,"Preferred",IF(K88&gt;=0.80,"Approved",IF(K88&gt;=0.70,"Conditional",IF(K88&gt;=0.60,"Improvement Required","Replacement Candidate")))))</x:f>
      </x:c>
    </x:row>
    <x:row r="89">
      <x:c r="C89" s="42"/>
      <x:c r="D89" s="44"/>
      <x:c r="E89" s="44"/>
      <x:c r="F89" s="44"/>
      <x:c r="G89" s="44"/>
      <x:c r="I89" s="44"/>
      <x:c r="J89" s="44"/>
      <x:c r="K89" s="44" t="str">
        <x:f>IF(COUNTA(D89:J89)=0,"",D89*0.25+E89*0.10+F89*0.20+G89*0.10+(H89/5)*0.10+I89*0.15+(1-J89)*0.10)</x:f>
      </x:c>
      <x:c r="L89" t="str">
        <x:f>IF(K89="","",IF(K89&gt;=0.90,"Preferred",IF(K89&gt;=0.80,"Approved",IF(K89&gt;=0.70,"Conditional",IF(K89&gt;=0.60,"Improvement Required","Replacement Candidate")))))</x:f>
      </x:c>
    </x:row>
    <x:row r="90">
      <x:c r="C90" s="42"/>
      <x:c r="D90" s="44"/>
      <x:c r="E90" s="44"/>
      <x:c r="F90" s="44"/>
      <x:c r="G90" s="44"/>
      <x:c r="I90" s="44"/>
      <x:c r="J90" s="44"/>
      <x:c r="K90" s="44" t="str">
        <x:f>IF(COUNTA(D90:J90)=0,"",D90*0.25+E90*0.10+F90*0.20+G90*0.10+(H90/5)*0.10+I90*0.15+(1-J90)*0.10)</x:f>
      </x:c>
      <x:c r="L90" t="str">
        <x:f>IF(K90="","",IF(K90&gt;=0.90,"Preferred",IF(K90&gt;=0.80,"Approved",IF(K90&gt;=0.70,"Conditional",IF(K90&gt;=0.60,"Improvement Required","Replacement Candidate")))))</x:f>
      </x:c>
    </x:row>
    <x:row r="91">
      <x:c r="C91" s="42"/>
      <x:c r="D91" s="44"/>
      <x:c r="E91" s="44"/>
      <x:c r="F91" s="44"/>
      <x:c r="G91" s="44"/>
      <x:c r="I91" s="44"/>
      <x:c r="J91" s="44"/>
      <x:c r="K91" s="44" t="str">
        <x:f>IF(COUNTA(D91:J91)=0,"",D91*0.25+E91*0.10+F91*0.20+G91*0.10+(H91/5)*0.10+I91*0.15+(1-J91)*0.10)</x:f>
      </x:c>
      <x:c r="L91" t="str">
        <x:f>IF(K91="","",IF(K91&gt;=0.90,"Preferred",IF(K91&gt;=0.80,"Approved",IF(K91&gt;=0.70,"Conditional",IF(K91&gt;=0.60,"Improvement Required","Replacement Candidate")))))</x:f>
      </x:c>
    </x:row>
    <x:row r="92">
      <x:c r="C92" s="42"/>
      <x:c r="D92" s="44"/>
      <x:c r="E92" s="44"/>
      <x:c r="F92" s="44"/>
      <x:c r="G92" s="44"/>
      <x:c r="I92" s="44"/>
      <x:c r="J92" s="44"/>
      <x:c r="K92" s="44" t="str">
        <x:f>IF(COUNTA(D92:J92)=0,"",D92*0.25+E92*0.10+F92*0.20+G92*0.10+(H92/5)*0.10+I92*0.15+(1-J92)*0.10)</x:f>
      </x:c>
      <x:c r="L92" t="str">
        <x:f>IF(K92="","",IF(K92&gt;=0.90,"Preferred",IF(K92&gt;=0.80,"Approved",IF(K92&gt;=0.70,"Conditional",IF(K92&gt;=0.60,"Improvement Required","Replacement Candidate")))))</x:f>
      </x:c>
    </x:row>
    <x:row r="93">
      <x:c r="C93" s="42"/>
      <x:c r="D93" s="44"/>
      <x:c r="E93" s="44"/>
      <x:c r="F93" s="44"/>
      <x:c r="G93" s="44"/>
      <x:c r="I93" s="44"/>
      <x:c r="J93" s="44"/>
      <x:c r="K93" s="44" t="str">
        <x:f>IF(COUNTA(D93:J93)=0,"",D93*0.25+E93*0.10+F93*0.20+G93*0.10+(H93/5)*0.10+I93*0.15+(1-J93)*0.10)</x:f>
      </x:c>
      <x:c r="L93" t="str">
        <x:f>IF(K93="","",IF(K93&gt;=0.90,"Preferred",IF(K93&gt;=0.80,"Approved",IF(K93&gt;=0.70,"Conditional",IF(K93&gt;=0.60,"Improvement Required","Replacement Candidate")))))</x:f>
      </x:c>
    </x:row>
    <x:row r="94">
      <x:c r="C94" s="42"/>
      <x:c r="D94" s="44"/>
      <x:c r="E94" s="44"/>
      <x:c r="F94" s="44"/>
      <x:c r="G94" s="44"/>
      <x:c r="I94" s="44"/>
      <x:c r="J94" s="44"/>
      <x:c r="K94" s="44" t="str">
        <x:f>IF(COUNTA(D94:J94)=0,"",D94*0.25+E94*0.10+F94*0.20+G94*0.10+(H94/5)*0.10+I94*0.15+(1-J94)*0.10)</x:f>
      </x:c>
      <x:c r="L94" t="str">
        <x:f>IF(K94="","",IF(K94&gt;=0.90,"Preferred",IF(K94&gt;=0.80,"Approved",IF(K94&gt;=0.70,"Conditional",IF(K94&gt;=0.60,"Improvement Required","Replacement Candidate")))))</x:f>
      </x:c>
    </x:row>
    <x:row r="95">
      <x:c r="C95" s="42"/>
      <x:c r="D95" s="44"/>
      <x:c r="E95" s="44"/>
      <x:c r="F95" s="44"/>
      <x:c r="G95" s="44"/>
      <x:c r="I95" s="44"/>
      <x:c r="J95" s="44"/>
      <x:c r="K95" s="44" t="str">
        <x:f>IF(COUNTA(D95:J95)=0,"",D95*0.25+E95*0.10+F95*0.20+G95*0.10+(H95/5)*0.10+I95*0.15+(1-J95)*0.10)</x:f>
      </x:c>
      <x:c r="L95" t="str">
        <x:f>IF(K95="","",IF(K95&gt;=0.90,"Preferred",IF(K95&gt;=0.80,"Approved",IF(K95&gt;=0.70,"Conditional",IF(K95&gt;=0.60,"Improvement Required","Replacement Candidate")))))</x:f>
      </x:c>
    </x:row>
    <x:row r="96">
      <x:c r="C96" s="42"/>
      <x:c r="D96" s="44"/>
      <x:c r="E96" s="44"/>
      <x:c r="F96" s="44"/>
      <x:c r="G96" s="44"/>
      <x:c r="I96" s="44"/>
      <x:c r="J96" s="44"/>
      <x:c r="K96" s="44" t="str">
        <x:f>IF(COUNTA(D96:J96)=0,"",D96*0.25+E96*0.10+F96*0.20+G96*0.10+(H96/5)*0.10+I96*0.15+(1-J96)*0.10)</x:f>
      </x:c>
      <x:c r="L96" t="str">
        <x:f>IF(K96="","",IF(K96&gt;=0.90,"Preferred",IF(K96&gt;=0.80,"Approved",IF(K96&gt;=0.70,"Conditional",IF(K96&gt;=0.60,"Improvement Required","Replacement Candidate")))))</x:f>
      </x:c>
    </x:row>
    <x:row r="97">
      <x:c r="C97" s="42"/>
      <x:c r="D97" s="44"/>
      <x:c r="E97" s="44"/>
      <x:c r="F97" s="44"/>
      <x:c r="G97" s="44"/>
      <x:c r="I97" s="44"/>
      <x:c r="J97" s="44"/>
      <x:c r="K97" s="44" t="str">
        <x:f>IF(COUNTA(D97:J97)=0,"",D97*0.25+E97*0.10+F97*0.20+G97*0.10+(H97/5)*0.10+I97*0.15+(1-J97)*0.10)</x:f>
      </x:c>
      <x:c r="L97" t="str">
        <x:f>IF(K97="","",IF(K97&gt;=0.90,"Preferred",IF(K97&gt;=0.80,"Approved",IF(K97&gt;=0.70,"Conditional",IF(K97&gt;=0.60,"Improvement Required","Replacement Candidate")))))</x:f>
      </x:c>
    </x:row>
    <x:row r="98">
      <x:c r="C98" s="42"/>
      <x:c r="D98" s="44"/>
      <x:c r="E98" s="44"/>
      <x:c r="F98" s="44"/>
      <x:c r="G98" s="44"/>
      <x:c r="I98" s="44"/>
      <x:c r="J98" s="44"/>
      <x:c r="K98" s="44" t="str">
        <x:f>IF(COUNTA(D98:J98)=0,"",D98*0.25+E98*0.10+F98*0.20+G98*0.10+(H98/5)*0.10+I98*0.15+(1-J98)*0.10)</x:f>
      </x:c>
      <x:c r="L98" t="str">
        <x:f>IF(K98="","",IF(K98&gt;=0.90,"Preferred",IF(K98&gt;=0.80,"Approved",IF(K98&gt;=0.70,"Conditional",IF(K98&gt;=0.60,"Improvement Required","Replacement Candidate")))))</x:f>
      </x:c>
    </x:row>
    <x:row r="99">
      <x:c r="C99" s="42"/>
      <x:c r="D99" s="44"/>
      <x:c r="E99" s="44"/>
      <x:c r="F99" s="44"/>
      <x:c r="G99" s="44"/>
      <x:c r="I99" s="44"/>
      <x:c r="J99" s="44"/>
      <x:c r="K99" s="44" t="str">
        <x:f>IF(COUNTA(D99:J99)=0,"",D99*0.25+E99*0.10+F99*0.20+G99*0.10+(H99/5)*0.10+I99*0.15+(1-J99)*0.10)</x:f>
      </x:c>
      <x:c r="L99" t="str">
        <x:f>IF(K99="","",IF(K99&gt;=0.90,"Preferred",IF(K99&gt;=0.80,"Approved",IF(K99&gt;=0.70,"Conditional",IF(K99&gt;=0.60,"Improvement Required","Replacement Candidate")))))</x:f>
      </x:c>
    </x:row>
    <x:row r="100">
      <x:c r="C100" s="42"/>
      <x:c r="D100" s="44"/>
      <x:c r="E100" s="44"/>
      <x:c r="F100" s="44"/>
      <x:c r="G100" s="44"/>
      <x:c r="I100" s="44"/>
      <x:c r="J100" s="44"/>
      <x:c r="K100" s="44" t="str">
        <x:f>IF(COUNTA(D100:J100)=0,"",D100*0.25+E100*0.10+F100*0.20+G100*0.10+(H100/5)*0.10+I100*0.15+(1-J100)*0.10)</x:f>
      </x:c>
      <x:c r="L100" t="str">
        <x:f>IF(K100="","",IF(K100&gt;=0.90,"Preferred",IF(K100&gt;=0.80,"Approved",IF(K100&gt;=0.70,"Conditional",IF(K100&gt;=0.60,"Improvement Required","Replacement Candidate")))))</x:f>
      </x:c>
    </x:row>
    <x:row r="101">
      <x:c r="C101" s="42"/>
      <x:c r="D101" s="44"/>
      <x:c r="E101" s="44"/>
      <x:c r="F101" s="44"/>
      <x:c r="G101" s="44"/>
      <x:c r="I101" s="44"/>
      <x:c r="J101" s="44"/>
      <x:c r="K101" s="44" t="str">
        <x:f>IF(COUNTA(D101:J101)=0,"",D101*0.25+E101*0.10+F101*0.20+G101*0.10+(H101/5)*0.10+I101*0.15+(1-J101)*0.10)</x:f>
      </x:c>
      <x:c r="L101" t="str">
        <x:f>IF(K101="","",IF(K101&gt;=0.90,"Preferred",IF(K101&gt;=0.80,"Approved",IF(K101&gt;=0.70,"Conditional",IF(K101&gt;=0.60,"Improvement Required","Replacement Candidate")))))</x:f>
      </x:c>
    </x:row>
    <x:row r="102">
      <x:c r="C102" s="42"/>
      <x:c r="D102" s="44"/>
      <x:c r="E102" s="44"/>
      <x:c r="F102" s="44"/>
      <x:c r="G102" s="44"/>
      <x:c r="I102" s="44"/>
      <x:c r="J102" s="44"/>
      <x:c r="K102" s="44" t="str">
        <x:f>IF(COUNTA(D102:J102)=0,"",D102*0.25+E102*0.10+F102*0.20+G102*0.10+(H102/5)*0.10+I102*0.15+(1-J102)*0.10)</x:f>
      </x:c>
      <x:c r="L102" t="str">
        <x:f>IF(K102="","",IF(K102&gt;=0.90,"Preferred",IF(K102&gt;=0.80,"Approved",IF(K102&gt;=0.70,"Conditional",IF(K102&gt;=0.60,"Improvement Required","Replacement Candidate")))))</x:f>
      </x:c>
    </x:row>
    <x:row r="103">
      <x:c r="C103" s="42"/>
      <x:c r="D103" s="44"/>
      <x:c r="E103" s="44"/>
      <x:c r="F103" s="44"/>
      <x:c r="G103" s="44"/>
      <x:c r="I103" s="44"/>
      <x:c r="J103" s="44"/>
      <x:c r="K103" s="44" t="str">
        <x:f>IF(COUNTA(D103:J103)=0,"",D103*0.25+E103*0.10+F103*0.20+G103*0.10+(H103/5)*0.10+I103*0.15+(1-J103)*0.10)</x:f>
      </x:c>
      <x:c r="L103" t="str">
        <x:f>IF(K103="","",IF(K103&gt;=0.90,"Preferred",IF(K103&gt;=0.80,"Approved",IF(K103&gt;=0.70,"Conditional",IF(K103&gt;=0.60,"Improvement Required","Replacement Candidate")))))</x:f>
      </x:c>
    </x:row>
    <x:row r="104">
      <x:c r="C104" s="42"/>
      <x:c r="D104" s="44"/>
      <x:c r="E104" s="44"/>
      <x:c r="F104" s="44"/>
      <x:c r="G104" s="44"/>
      <x:c r="I104" s="44"/>
      <x:c r="J104" s="44"/>
      <x:c r="K104" s="44" t="str">
        <x:f>IF(COUNTA(D104:J104)=0,"",D104*0.25+E104*0.10+F104*0.20+G104*0.10+(H104/5)*0.10+I104*0.15+(1-J104)*0.10)</x:f>
      </x:c>
      <x:c r="L104" t="str">
        <x:f>IF(K104="","",IF(K104&gt;=0.90,"Preferred",IF(K104&gt;=0.80,"Approved",IF(K104&gt;=0.70,"Conditional",IF(K104&gt;=0.60,"Improvement Required","Replacement Candidate")))))</x:f>
      </x:c>
    </x:row>
    <x:row r="105">
      <x:c r="C105" s="42"/>
      <x:c r="D105" s="44"/>
      <x:c r="E105" s="44"/>
      <x:c r="F105" s="44"/>
      <x:c r="G105" s="44"/>
      <x:c r="I105" s="44"/>
      <x:c r="J105" s="44"/>
      <x:c r="K105" s="44" t="str">
        <x:f>IF(COUNTA(D105:J105)=0,"",D105*0.25+E105*0.10+F105*0.20+G105*0.10+(H105/5)*0.10+I105*0.15+(1-J105)*0.10)</x:f>
      </x:c>
      <x:c r="L105" t="str">
        <x:f>IF(K105="","",IF(K105&gt;=0.90,"Preferred",IF(K105&gt;=0.80,"Approved",IF(K105&gt;=0.70,"Conditional",IF(K105&gt;=0.60,"Improvement Required","Replacement Candidate")))))</x:f>
      </x:c>
    </x:row>
    <x:row r="106">
      <x:c r="C106" s="42"/>
      <x:c r="D106" s="44"/>
      <x:c r="E106" s="44"/>
      <x:c r="F106" s="44"/>
      <x:c r="G106" s="44"/>
      <x:c r="I106" s="44"/>
      <x:c r="J106" s="44"/>
      <x:c r="K106" s="44" t="str">
        <x:f>IF(COUNTA(D106:J106)=0,"",D106*0.25+E106*0.10+F106*0.20+G106*0.10+(H106/5)*0.10+I106*0.15+(1-J106)*0.10)</x:f>
      </x:c>
      <x:c r="L106" t="str">
        <x:f>IF(K106="","",IF(K106&gt;=0.90,"Preferred",IF(K106&gt;=0.80,"Approved",IF(K106&gt;=0.70,"Conditional",IF(K106&gt;=0.60,"Improvement Required","Replacement Candidate")))))</x:f>
      </x:c>
    </x:row>
    <x:row r="107">
      <x:c r="C107" s="42"/>
      <x:c r="D107" s="44"/>
      <x:c r="E107" s="44"/>
      <x:c r="F107" s="44"/>
      <x:c r="G107" s="44"/>
      <x:c r="I107" s="44"/>
      <x:c r="J107" s="44"/>
      <x:c r="K107" s="44" t="str">
        <x:f>IF(COUNTA(D107:J107)=0,"",D107*0.25+E107*0.10+F107*0.20+G107*0.10+(H107/5)*0.10+I107*0.15+(1-J107)*0.10)</x:f>
      </x:c>
      <x:c r="L107" t="str">
        <x:f>IF(K107="","",IF(K107&gt;=0.90,"Preferred",IF(K107&gt;=0.80,"Approved",IF(K107&gt;=0.70,"Conditional",IF(K107&gt;=0.60,"Improvement Required","Replacement Candidate")))))</x:f>
      </x:c>
    </x:row>
    <x:row r="108">
      <x:c r="C108" s="42"/>
      <x:c r="D108" s="44"/>
      <x:c r="E108" s="44"/>
      <x:c r="F108" s="44"/>
      <x:c r="G108" s="44"/>
      <x:c r="I108" s="44"/>
      <x:c r="J108" s="44"/>
      <x:c r="K108" s="44" t="str">
        <x:f>IF(COUNTA(D108:J108)=0,"",D108*0.25+E108*0.10+F108*0.20+G108*0.10+(H108/5)*0.10+I108*0.15+(1-J108)*0.10)</x:f>
      </x:c>
      <x:c r="L108" t="str">
        <x:f>IF(K108="","",IF(K108&gt;=0.90,"Preferred",IF(K108&gt;=0.80,"Approved",IF(K108&gt;=0.70,"Conditional",IF(K108&gt;=0.60,"Improvement Required","Replacement Candidate")))))</x:f>
      </x:c>
    </x:row>
    <x:row r="109">
      <x:c r="C109" s="42"/>
      <x:c r="D109" s="44"/>
      <x:c r="E109" s="44"/>
      <x:c r="F109" s="44"/>
      <x:c r="G109" s="44"/>
      <x:c r="I109" s="44"/>
      <x:c r="J109" s="44"/>
      <x:c r="K109" s="44" t="str">
        <x:f>IF(COUNTA(D109:J109)=0,"",D109*0.25+E109*0.10+F109*0.20+G109*0.10+(H109/5)*0.10+I109*0.15+(1-J109)*0.10)</x:f>
      </x:c>
      <x:c r="L109" t="str">
        <x:f>IF(K109="","",IF(K109&gt;=0.90,"Preferred",IF(K109&gt;=0.80,"Approved",IF(K109&gt;=0.70,"Conditional",IF(K109&gt;=0.60,"Improvement Required","Replacement Candidate")))))</x:f>
      </x:c>
    </x:row>
    <x:row r="110">
      <x:c r="C110" s="42"/>
      <x:c r="D110" s="44"/>
      <x:c r="E110" s="44"/>
      <x:c r="F110" s="44"/>
      <x:c r="G110" s="44"/>
      <x:c r="I110" s="44"/>
      <x:c r="J110" s="44"/>
      <x:c r="K110" s="44" t="str">
        <x:f>IF(COUNTA(D110:J110)=0,"",D110*0.25+E110*0.10+F110*0.20+G110*0.10+(H110/5)*0.10+I110*0.15+(1-J110)*0.10)</x:f>
      </x:c>
      <x:c r="L110" t="str">
        <x:f>IF(K110="","",IF(K110&gt;=0.90,"Preferred",IF(K110&gt;=0.80,"Approved",IF(K110&gt;=0.70,"Conditional",IF(K110&gt;=0.60,"Improvement Required","Replacement Candidate")))))</x:f>
      </x:c>
    </x:row>
    <x:row r="111">
      <x:c r="C111" s="42"/>
      <x:c r="D111" s="44"/>
      <x:c r="E111" s="44"/>
      <x:c r="F111" s="44"/>
      <x:c r="G111" s="44"/>
      <x:c r="I111" s="44"/>
      <x:c r="J111" s="44"/>
      <x:c r="K111" s="44" t="str">
        <x:f>IF(COUNTA(D111:J111)=0,"",D111*0.25+E111*0.10+F111*0.20+G111*0.10+(H111/5)*0.10+I111*0.15+(1-J111)*0.10)</x:f>
      </x:c>
      <x:c r="L111" t="str">
        <x:f>IF(K111="","",IF(K111&gt;=0.90,"Preferred",IF(K111&gt;=0.80,"Approved",IF(K111&gt;=0.70,"Conditional",IF(K111&gt;=0.60,"Improvement Required","Replacement Candidate")))))</x:f>
      </x:c>
    </x:row>
    <x:row r="112">
      <x:c r="C112" s="42"/>
      <x:c r="D112" s="44"/>
      <x:c r="E112" s="44"/>
      <x:c r="F112" s="44"/>
      <x:c r="G112" s="44"/>
      <x:c r="I112" s="44"/>
      <x:c r="J112" s="44"/>
      <x:c r="K112" s="44" t="str">
        <x:f>IF(COUNTA(D112:J112)=0,"",D112*0.25+E112*0.10+F112*0.20+G112*0.10+(H112/5)*0.10+I112*0.15+(1-J112)*0.10)</x:f>
      </x:c>
      <x:c r="L112" t="str">
        <x:f>IF(K112="","",IF(K112&gt;=0.90,"Preferred",IF(K112&gt;=0.80,"Approved",IF(K112&gt;=0.70,"Conditional",IF(K112&gt;=0.60,"Improvement Required","Replacement Candidate")))))</x:f>
      </x:c>
    </x:row>
    <x:row r="113">
      <x:c r="C113" s="42"/>
      <x:c r="D113" s="44"/>
      <x:c r="E113" s="44"/>
      <x:c r="F113" s="44"/>
      <x:c r="G113" s="44"/>
      <x:c r="I113" s="44"/>
      <x:c r="J113" s="44"/>
      <x:c r="K113" s="44" t="str">
        <x:f>IF(COUNTA(D113:J113)=0,"",D113*0.25+E113*0.10+F113*0.20+G113*0.10+(H113/5)*0.10+I113*0.15+(1-J113)*0.10)</x:f>
      </x:c>
      <x:c r="L113" t="str">
        <x:f>IF(K113="","",IF(K113&gt;=0.90,"Preferred",IF(K113&gt;=0.80,"Approved",IF(K113&gt;=0.70,"Conditional",IF(K113&gt;=0.60,"Improvement Required","Replacement Candidate")))))</x:f>
      </x:c>
    </x:row>
    <x:row r="114">
      <x:c r="C114" s="42"/>
      <x:c r="D114" s="44"/>
      <x:c r="E114" s="44"/>
      <x:c r="F114" s="44"/>
      <x:c r="G114" s="44"/>
      <x:c r="I114" s="44"/>
      <x:c r="J114" s="44"/>
      <x:c r="K114" s="44" t="str">
        <x:f>IF(COUNTA(D114:J114)=0,"",D114*0.25+E114*0.10+F114*0.20+G114*0.10+(H114/5)*0.10+I114*0.15+(1-J114)*0.10)</x:f>
      </x:c>
      <x:c r="L114" t="str">
        <x:f>IF(K114="","",IF(K114&gt;=0.90,"Preferred",IF(K114&gt;=0.80,"Approved",IF(K114&gt;=0.70,"Conditional",IF(K114&gt;=0.60,"Improvement Required","Replacement Candidate")))))</x:f>
      </x:c>
    </x:row>
    <x:row r="115">
      <x:c r="C115" s="42"/>
      <x:c r="D115" s="44"/>
      <x:c r="E115" s="44"/>
      <x:c r="F115" s="44"/>
      <x:c r="G115" s="44"/>
      <x:c r="I115" s="44"/>
      <x:c r="J115" s="44"/>
      <x:c r="K115" s="44" t="str">
        <x:f>IF(COUNTA(D115:J115)=0,"",D115*0.25+E115*0.10+F115*0.20+G115*0.10+(H115/5)*0.10+I115*0.15+(1-J115)*0.10)</x:f>
      </x:c>
      <x:c r="L115" t="str">
        <x:f>IF(K115="","",IF(K115&gt;=0.90,"Preferred",IF(K115&gt;=0.80,"Approved",IF(K115&gt;=0.70,"Conditional",IF(K115&gt;=0.60,"Improvement Required","Replacement Candidate")))))</x:f>
      </x:c>
    </x:row>
    <x:row r="116">
      <x:c r="C116" s="42"/>
      <x:c r="D116" s="44"/>
      <x:c r="E116" s="44"/>
      <x:c r="F116" s="44"/>
      <x:c r="G116" s="44"/>
      <x:c r="I116" s="44"/>
      <x:c r="J116" s="44"/>
      <x:c r="K116" s="44" t="str">
        <x:f>IF(COUNTA(D116:J116)=0,"",D116*0.25+E116*0.10+F116*0.20+G116*0.10+(H116/5)*0.10+I116*0.15+(1-J116)*0.10)</x:f>
      </x:c>
      <x:c r="L116" t="str">
        <x:f>IF(K116="","",IF(K116&gt;=0.90,"Preferred",IF(K116&gt;=0.80,"Approved",IF(K116&gt;=0.70,"Conditional",IF(K116&gt;=0.60,"Improvement Required","Replacement Candidate")))))</x:f>
      </x:c>
    </x:row>
    <x:row r="117">
      <x:c r="C117" s="42"/>
      <x:c r="D117" s="44"/>
      <x:c r="E117" s="44"/>
      <x:c r="F117" s="44"/>
      <x:c r="G117" s="44"/>
      <x:c r="I117" s="44"/>
      <x:c r="J117" s="44"/>
      <x:c r="K117" s="44" t="str">
        <x:f>IF(COUNTA(D117:J117)=0,"",D117*0.25+E117*0.10+F117*0.20+G117*0.10+(H117/5)*0.10+I117*0.15+(1-J117)*0.10)</x:f>
      </x:c>
      <x:c r="L117" t="str">
        <x:f>IF(K117="","",IF(K117&gt;=0.90,"Preferred",IF(K117&gt;=0.80,"Approved",IF(K117&gt;=0.70,"Conditional",IF(K117&gt;=0.60,"Improvement Required","Replacement Candidate")))))</x:f>
      </x:c>
    </x:row>
    <x:row r="118">
      <x:c r="C118" s="42"/>
      <x:c r="D118" s="44"/>
      <x:c r="E118" s="44"/>
      <x:c r="F118" s="44"/>
      <x:c r="G118" s="44"/>
      <x:c r="I118" s="44"/>
      <x:c r="J118" s="44"/>
      <x:c r="K118" s="44" t="str">
        <x:f>IF(COUNTA(D118:J118)=0,"",D118*0.25+E118*0.10+F118*0.20+G118*0.10+(H118/5)*0.10+I118*0.15+(1-J118)*0.10)</x:f>
      </x:c>
      <x:c r="L118" t="str">
        <x:f>IF(K118="","",IF(K118&gt;=0.90,"Preferred",IF(K118&gt;=0.80,"Approved",IF(K118&gt;=0.70,"Conditional",IF(K118&gt;=0.60,"Improvement Required","Replacement Candidate")))))</x:f>
      </x:c>
    </x:row>
    <x:row r="119">
      <x:c r="C119" s="42"/>
      <x:c r="D119" s="44"/>
      <x:c r="E119" s="44"/>
      <x:c r="F119" s="44"/>
      <x:c r="G119" s="44"/>
      <x:c r="I119" s="44"/>
      <x:c r="J119" s="44"/>
      <x:c r="K119" s="44" t="str">
        <x:f>IF(COUNTA(D119:J119)=0,"",D119*0.25+E119*0.10+F119*0.20+G119*0.10+(H119/5)*0.10+I119*0.15+(1-J119)*0.10)</x:f>
      </x:c>
      <x:c r="L119" t="str">
        <x:f>IF(K119="","",IF(K119&gt;=0.90,"Preferred",IF(K119&gt;=0.80,"Approved",IF(K119&gt;=0.70,"Conditional",IF(K119&gt;=0.60,"Improvement Required","Replacement Candidate")))))</x:f>
      </x:c>
    </x:row>
    <x:row r="120">
      <x:c r="C120" s="42"/>
      <x:c r="D120" s="44"/>
      <x:c r="E120" s="44"/>
      <x:c r="F120" s="44"/>
      <x:c r="G120" s="44"/>
      <x:c r="I120" s="44"/>
      <x:c r="J120" s="44"/>
      <x:c r="K120" s="44" t="str">
        <x:f>IF(COUNTA(D120:J120)=0,"",D120*0.25+E120*0.10+F120*0.20+G120*0.10+(H120/5)*0.10+I120*0.15+(1-J120)*0.10)</x:f>
      </x:c>
      <x:c r="L120" t="str">
        <x:f>IF(K120="","",IF(K120&gt;=0.90,"Preferred",IF(K120&gt;=0.80,"Approved",IF(K120&gt;=0.70,"Conditional",IF(K120&gt;=0.60,"Improvement Required","Replacement Candidate")))))</x:f>
      </x:c>
    </x:row>
    <x:row r="121">
      <x:c r="C121" s="42"/>
      <x:c r="D121" s="44"/>
      <x:c r="E121" s="44"/>
      <x:c r="F121" s="44"/>
      <x:c r="G121" s="44"/>
      <x:c r="I121" s="44"/>
      <x:c r="J121" s="44"/>
      <x:c r="K121" s="44" t="str">
        <x:f>IF(COUNTA(D121:J121)=0,"",D121*0.25+E121*0.10+F121*0.20+G121*0.10+(H121/5)*0.10+I121*0.15+(1-J121)*0.10)</x:f>
      </x:c>
      <x:c r="L121" t="str">
        <x:f>IF(K121="","",IF(K121&gt;=0.90,"Preferred",IF(K121&gt;=0.80,"Approved",IF(K121&gt;=0.70,"Conditional",IF(K121&gt;=0.60,"Improvement Required","Replacement Candidate")))))</x:f>
      </x:c>
    </x:row>
    <x:row r="122">
      <x:c r="C122" s="42"/>
      <x:c r="D122" s="44"/>
      <x:c r="E122" s="44"/>
      <x:c r="F122" s="44"/>
      <x:c r="G122" s="44"/>
      <x:c r="I122" s="44"/>
      <x:c r="J122" s="44"/>
      <x:c r="K122" s="44" t="str">
        <x:f>IF(COUNTA(D122:J122)=0,"",D122*0.25+E122*0.10+F122*0.20+G122*0.10+(H122/5)*0.10+I122*0.15+(1-J122)*0.10)</x:f>
      </x:c>
      <x:c r="L122" t="str">
        <x:f>IF(K122="","",IF(K122&gt;=0.90,"Preferred",IF(K122&gt;=0.80,"Approved",IF(K122&gt;=0.70,"Conditional",IF(K122&gt;=0.60,"Improvement Required","Replacement Candidate")))))</x:f>
      </x:c>
    </x:row>
    <x:row r="123">
      <x:c r="C123" s="42"/>
      <x:c r="D123" s="44"/>
      <x:c r="E123" s="44"/>
      <x:c r="F123" s="44"/>
      <x:c r="G123" s="44"/>
      <x:c r="I123" s="44"/>
      <x:c r="J123" s="44"/>
      <x:c r="K123" s="44" t="str">
        <x:f>IF(COUNTA(D123:J123)=0,"",D123*0.25+E123*0.10+F123*0.20+G123*0.10+(H123/5)*0.10+I123*0.15+(1-J123)*0.10)</x:f>
      </x:c>
      <x:c r="L123" t="str">
        <x:f>IF(K123="","",IF(K123&gt;=0.90,"Preferred",IF(K123&gt;=0.80,"Approved",IF(K123&gt;=0.70,"Conditional",IF(K123&gt;=0.60,"Improvement Required","Replacement Candidate")))))</x:f>
      </x:c>
    </x:row>
    <x:row r="124">
      <x:c r="C124" s="42"/>
      <x:c r="D124" s="44"/>
      <x:c r="E124" s="44"/>
      <x:c r="F124" s="44"/>
      <x:c r="G124" s="44"/>
      <x:c r="I124" s="44"/>
      <x:c r="J124" s="44"/>
      <x:c r="K124" s="44" t="str">
        <x:f>IF(COUNTA(D124:J124)=0,"",D124*0.25+E124*0.10+F124*0.20+G124*0.10+(H124/5)*0.10+I124*0.15+(1-J124)*0.10)</x:f>
      </x:c>
      <x:c r="L124" t="str">
        <x:f>IF(K124="","",IF(K124&gt;=0.90,"Preferred",IF(K124&gt;=0.80,"Approved",IF(K124&gt;=0.70,"Conditional",IF(K124&gt;=0.60,"Improvement Required","Replacement Candidate")))))</x:f>
      </x:c>
    </x:row>
    <x:row r="125">
      <x:c r="C125" s="42"/>
      <x:c r="D125" s="44"/>
      <x:c r="E125" s="44"/>
      <x:c r="F125" s="44"/>
      <x:c r="G125" s="44"/>
      <x:c r="I125" s="44"/>
      <x:c r="J125" s="44"/>
      <x:c r="K125" s="44" t="str">
        <x:f>IF(COUNTA(D125:J125)=0,"",D125*0.25+E125*0.10+F125*0.20+G125*0.10+(H125/5)*0.10+I125*0.15+(1-J125)*0.10)</x:f>
      </x:c>
      <x:c r="L125" t="str">
        <x:f>IF(K125="","",IF(K125&gt;=0.90,"Preferred",IF(K125&gt;=0.80,"Approved",IF(K125&gt;=0.70,"Conditional",IF(K125&gt;=0.60,"Improvement Required","Replacement Candidate")))))</x:f>
      </x:c>
    </x:row>
    <x:row r="126">
      <x:c r="C126" s="42"/>
      <x:c r="D126" s="44"/>
      <x:c r="E126" s="44"/>
      <x:c r="F126" s="44"/>
      <x:c r="G126" s="44"/>
      <x:c r="I126" s="44"/>
      <x:c r="J126" s="44"/>
      <x:c r="K126" s="44" t="str">
        <x:f>IF(COUNTA(D126:J126)=0,"",D126*0.25+E126*0.10+F126*0.20+G126*0.10+(H126/5)*0.10+I126*0.15+(1-J126)*0.10)</x:f>
      </x:c>
      <x:c r="L126" t="str">
        <x:f>IF(K126="","",IF(K126&gt;=0.90,"Preferred",IF(K126&gt;=0.80,"Approved",IF(K126&gt;=0.70,"Conditional",IF(K126&gt;=0.60,"Improvement Required","Replacement Candidate")))))</x:f>
      </x:c>
    </x:row>
    <x:row r="127">
      <x:c r="C127" s="42"/>
      <x:c r="D127" s="44"/>
      <x:c r="E127" s="44"/>
      <x:c r="F127" s="44"/>
      <x:c r="G127" s="44"/>
      <x:c r="I127" s="44"/>
      <x:c r="J127" s="44"/>
      <x:c r="K127" s="44" t="str">
        <x:f>IF(COUNTA(D127:J127)=0,"",D127*0.25+E127*0.10+F127*0.20+G127*0.10+(H127/5)*0.10+I127*0.15+(1-J127)*0.10)</x:f>
      </x:c>
      <x:c r="L127" t="str">
        <x:f>IF(K127="","",IF(K127&gt;=0.90,"Preferred",IF(K127&gt;=0.80,"Approved",IF(K127&gt;=0.70,"Conditional",IF(K127&gt;=0.60,"Improvement Required","Replacement Candidate")))))</x:f>
      </x:c>
    </x:row>
    <x:row r="128">
      <x:c r="C128" s="42"/>
      <x:c r="D128" s="44"/>
      <x:c r="E128" s="44"/>
      <x:c r="F128" s="44"/>
      <x:c r="G128" s="44"/>
      <x:c r="I128" s="44"/>
      <x:c r="J128" s="44"/>
      <x:c r="K128" s="44" t="str">
        <x:f>IF(COUNTA(D128:J128)=0,"",D128*0.25+E128*0.10+F128*0.20+G128*0.10+(H128/5)*0.10+I128*0.15+(1-J128)*0.10)</x:f>
      </x:c>
      <x:c r="L128" t="str">
        <x:f>IF(K128="","",IF(K128&gt;=0.90,"Preferred",IF(K128&gt;=0.80,"Approved",IF(K128&gt;=0.70,"Conditional",IF(K128&gt;=0.60,"Improvement Required","Replacement Candidate")))))</x:f>
      </x:c>
    </x:row>
    <x:row r="129">
      <x:c r="C129" s="42"/>
      <x:c r="D129" s="44"/>
      <x:c r="E129" s="44"/>
      <x:c r="F129" s="44"/>
      <x:c r="G129" s="44"/>
      <x:c r="I129" s="44"/>
      <x:c r="J129" s="44"/>
      <x:c r="K129" s="44" t="str">
        <x:f>IF(COUNTA(D129:J129)=0,"",D129*0.25+E129*0.10+F129*0.20+G129*0.10+(H129/5)*0.10+I129*0.15+(1-J129)*0.10)</x:f>
      </x:c>
      <x:c r="L129" t="str">
        <x:f>IF(K129="","",IF(K129&gt;=0.90,"Preferred",IF(K129&gt;=0.80,"Approved",IF(K129&gt;=0.70,"Conditional",IF(K129&gt;=0.60,"Improvement Required","Replacement Candidate")))))</x:f>
      </x:c>
    </x:row>
    <x:row r="130">
      <x:c r="C130" s="42"/>
      <x:c r="D130" s="44"/>
      <x:c r="E130" s="44"/>
      <x:c r="F130" s="44"/>
      <x:c r="G130" s="44"/>
      <x:c r="I130" s="44"/>
      <x:c r="J130" s="44"/>
      <x:c r="K130" s="44" t="str">
        <x:f>IF(COUNTA(D130:J130)=0,"",D130*0.25+E130*0.10+F130*0.20+G130*0.10+(H130/5)*0.10+I130*0.15+(1-J130)*0.10)</x:f>
      </x:c>
      <x:c r="L130" t="str">
        <x:f>IF(K130="","",IF(K130&gt;=0.90,"Preferred",IF(K130&gt;=0.80,"Approved",IF(K130&gt;=0.70,"Conditional",IF(K130&gt;=0.60,"Improvement Required","Replacement Candidate")))))</x:f>
      </x:c>
    </x:row>
    <x:row r="131">
      <x:c r="C131" s="42"/>
      <x:c r="D131" s="44"/>
      <x:c r="E131" s="44"/>
      <x:c r="F131" s="44"/>
      <x:c r="G131" s="44"/>
      <x:c r="I131" s="44"/>
      <x:c r="J131" s="44"/>
      <x:c r="K131" s="44" t="str">
        <x:f>IF(COUNTA(D131:J131)=0,"",D131*0.25+E131*0.10+F131*0.20+G131*0.10+(H131/5)*0.10+I131*0.15+(1-J131)*0.10)</x:f>
      </x:c>
      <x:c r="L131" t="str">
        <x:f>IF(K131="","",IF(K131&gt;=0.90,"Preferred",IF(K131&gt;=0.80,"Approved",IF(K131&gt;=0.70,"Conditional",IF(K131&gt;=0.60,"Improvement Required","Replacement Candidate")))))</x:f>
      </x:c>
    </x:row>
    <x:row r="132">
      <x:c r="C132" s="42"/>
      <x:c r="D132" s="44"/>
      <x:c r="E132" s="44"/>
      <x:c r="F132" s="44"/>
      <x:c r="G132" s="44"/>
      <x:c r="I132" s="44"/>
      <x:c r="J132" s="44"/>
      <x:c r="K132" s="44" t="str">
        <x:f>IF(COUNTA(D132:J132)=0,"",D132*0.25+E132*0.10+F132*0.20+G132*0.10+(H132/5)*0.10+I132*0.15+(1-J132)*0.10)</x:f>
      </x:c>
      <x:c r="L132" t="str">
        <x:f>IF(K132="","",IF(K132&gt;=0.90,"Preferred",IF(K132&gt;=0.80,"Approved",IF(K132&gt;=0.70,"Conditional",IF(K132&gt;=0.60,"Improvement Required","Replacement Candidate")))))</x:f>
      </x:c>
    </x:row>
    <x:row r="133">
      <x:c r="C133" s="42"/>
      <x:c r="D133" s="44"/>
      <x:c r="E133" s="44"/>
      <x:c r="F133" s="44"/>
      <x:c r="G133" s="44"/>
      <x:c r="I133" s="44"/>
      <x:c r="J133" s="44"/>
      <x:c r="K133" s="44" t="str">
        <x:f>IF(COUNTA(D133:J133)=0,"",D133*0.25+E133*0.10+F133*0.20+G133*0.10+(H133/5)*0.10+I133*0.15+(1-J133)*0.10)</x:f>
      </x:c>
      <x:c r="L133" t="str">
        <x:f>IF(K133="","",IF(K133&gt;=0.90,"Preferred",IF(K133&gt;=0.80,"Approved",IF(K133&gt;=0.70,"Conditional",IF(K133&gt;=0.60,"Improvement Required","Replacement Candidate")))))</x:f>
      </x:c>
    </x:row>
    <x:row r="134">
      <x:c r="C134" s="42"/>
      <x:c r="D134" s="44"/>
      <x:c r="E134" s="44"/>
      <x:c r="F134" s="44"/>
      <x:c r="G134" s="44"/>
      <x:c r="I134" s="44"/>
      <x:c r="J134" s="44"/>
      <x:c r="K134" s="44" t="str">
        <x:f>IF(COUNTA(D134:J134)=0,"",D134*0.25+E134*0.10+F134*0.20+G134*0.10+(H134/5)*0.10+I134*0.15+(1-J134)*0.10)</x:f>
      </x:c>
      <x:c r="L134" t="str">
        <x:f>IF(K134="","",IF(K134&gt;=0.90,"Preferred",IF(K134&gt;=0.80,"Approved",IF(K134&gt;=0.70,"Conditional",IF(K134&gt;=0.60,"Improvement Required","Replacement Candidate")))))</x:f>
      </x:c>
    </x:row>
    <x:row r="135">
      <x:c r="C135" s="42"/>
      <x:c r="D135" s="44"/>
      <x:c r="E135" s="44"/>
      <x:c r="F135" s="44"/>
      <x:c r="G135" s="44"/>
      <x:c r="I135" s="44"/>
      <x:c r="J135" s="44"/>
      <x:c r="K135" s="44" t="str">
        <x:f>IF(COUNTA(D135:J135)=0,"",D135*0.25+E135*0.10+F135*0.20+G135*0.10+(H135/5)*0.10+I135*0.15+(1-J135)*0.10)</x:f>
      </x:c>
      <x:c r="L135" t="str">
        <x:f>IF(K135="","",IF(K135&gt;=0.90,"Preferred",IF(K135&gt;=0.80,"Approved",IF(K135&gt;=0.70,"Conditional",IF(K135&gt;=0.60,"Improvement Required","Replacement Candidate")))))</x:f>
      </x:c>
    </x:row>
    <x:row r="136">
      <x:c r="C136" s="42"/>
      <x:c r="D136" s="44"/>
      <x:c r="E136" s="44"/>
      <x:c r="F136" s="44"/>
      <x:c r="G136" s="44"/>
      <x:c r="I136" s="44"/>
      <x:c r="J136" s="44"/>
      <x:c r="K136" s="44" t="str">
        <x:f>IF(COUNTA(D136:J136)=0,"",D136*0.25+E136*0.10+F136*0.20+G136*0.10+(H136/5)*0.10+I136*0.15+(1-J136)*0.10)</x:f>
      </x:c>
      <x:c r="L136" t="str">
        <x:f>IF(K136="","",IF(K136&gt;=0.90,"Preferred",IF(K136&gt;=0.80,"Approved",IF(K136&gt;=0.70,"Conditional",IF(K136&gt;=0.60,"Improvement Required","Replacement Candidate")))))</x:f>
      </x:c>
    </x:row>
    <x:row r="137">
      <x:c r="C137" s="42"/>
      <x:c r="D137" s="44"/>
      <x:c r="E137" s="44"/>
      <x:c r="F137" s="44"/>
      <x:c r="G137" s="44"/>
      <x:c r="I137" s="44"/>
      <x:c r="J137" s="44"/>
      <x:c r="K137" s="44" t="str">
        <x:f>IF(COUNTA(D137:J137)=0,"",D137*0.25+E137*0.10+F137*0.20+G137*0.10+(H137/5)*0.10+I137*0.15+(1-J137)*0.10)</x:f>
      </x:c>
      <x:c r="L137" t="str">
        <x:f>IF(K137="","",IF(K137&gt;=0.90,"Preferred",IF(K137&gt;=0.80,"Approved",IF(K137&gt;=0.70,"Conditional",IF(K137&gt;=0.60,"Improvement Required","Replacement Candidate")))))</x:f>
      </x:c>
    </x:row>
    <x:row r="138">
      <x:c r="C138" s="42"/>
      <x:c r="D138" s="44"/>
      <x:c r="E138" s="44"/>
      <x:c r="F138" s="44"/>
      <x:c r="G138" s="44"/>
      <x:c r="I138" s="44"/>
      <x:c r="J138" s="44"/>
      <x:c r="K138" s="44" t="str">
        <x:f>IF(COUNTA(D138:J138)=0,"",D138*0.25+E138*0.10+F138*0.20+G138*0.10+(H138/5)*0.10+I138*0.15+(1-J138)*0.10)</x:f>
      </x:c>
      <x:c r="L138" t="str">
        <x:f>IF(K138="","",IF(K138&gt;=0.90,"Preferred",IF(K138&gt;=0.80,"Approved",IF(K138&gt;=0.70,"Conditional",IF(K138&gt;=0.60,"Improvement Required","Replacement Candidate")))))</x:f>
      </x:c>
    </x:row>
    <x:row r="139">
      <x:c r="C139" s="42"/>
      <x:c r="D139" s="44"/>
      <x:c r="E139" s="44"/>
      <x:c r="F139" s="44"/>
      <x:c r="G139" s="44"/>
      <x:c r="I139" s="44"/>
      <x:c r="J139" s="44"/>
      <x:c r="K139" s="44" t="str">
        <x:f>IF(COUNTA(D139:J139)=0,"",D139*0.25+E139*0.10+F139*0.20+G139*0.10+(H139/5)*0.10+I139*0.15+(1-J139)*0.10)</x:f>
      </x:c>
      <x:c r="L139" t="str">
        <x:f>IF(K139="","",IF(K139&gt;=0.90,"Preferred",IF(K139&gt;=0.80,"Approved",IF(K139&gt;=0.70,"Conditional",IF(K139&gt;=0.60,"Improvement Required","Replacement Candidate")))))</x:f>
      </x:c>
    </x:row>
    <x:row r="140">
      <x:c r="C140" s="42"/>
      <x:c r="D140" s="44"/>
      <x:c r="E140" s="44"/>
      <x:c r="F140" s="44"/>
      <x:c r="G140" s="44"/>
      <x:c r="I140" s="44"/>
      <x:c r="J140" s="44"/>
      <x:c r="K140" s="44" t="str">
        <x:f>IF(COUNTA(D140:J140)=0,"",D140*0.25+E140*0.10+F140*0.20+G140*0.10+(H140/5)*0.10+I140*0.15+(1-J140)*0.10)</x:f>
      </x:c>
      <x:c r="L140" t="str">
        <x:f>IF(K140="","",IF(K140&gt;=0.90,"Preferred",IF(K140&gt;=0.80,"Approved",IF(K140&gt;=0.70,"Conditional",IF(K140&gt;=0.60,"Improvement Required","Replacement Candidate")))))</x:f>
      </x:c>
    </x:row>
    <x:row r="141">
      <x:c r="C141" s="42"/>
      <x:c r="D141" s="44"/>
      <x:c r="E141" s="44"/>
      <x:c r="F141" s="44"/>
      <x:c r="G141" s="44"/>
      <x:c r="I141" s="44"/>
      <x:c r="J141" s="44"/>
      <x:c r="K141" s="44" t="str">
        <x:f>IF(COUNTA(D141:J141)=0,"",D141*0.25+E141*0.10+F141*0.20+G141*0.10+(H141/5)*0.10+I141*0.15+(1-J141)*0.10)</x:f>
      </x:c>
      <x:c r="L141" t="str">
        <x:f>IF(K141="","",IF(K141&gt;=0.90,"Preferred",IF(K141&gt;=0.80,"Approved",IF(K141&gt;=0.70,"Conditional",IF(K141&gt;=0.60,"Improvement Required","Replacement Candidate")))))</x:f>
      </x:c>
    </x:row>
    <x:row r="142">
      <x:c r="C142" s="42"/>
      <x:c r="D142" s="44"/>
      <x:c r="E142" s="44"/>
      <x:c r="F142" s="44"/>
      <x:c r="G142" s="44"/>
      <x:c r="I142" s="44"/>
      <x:c r="J142" s="44"/>
      <x:c r="K142" s="44" t="str">
        <x:f>IF(COUNTA(D142:J142)=0,"",D142*0.25+E142*0.10+F142*0.20+G142*0.10+(H142/5)*0.10+I142*0.15+(1-J142)*0.10)</x:f>
      </x:c>
      <x:c r="L142" t="str">
        <x:f>IF(K142="","",IF(K142&gt;=0.90,"Preferred",IF(K142&gt;=0.80,"Approved",IF(K142&gt;=0.70,"Conditional",IF(K142&gt;=0.60,"Improvement Required","Replacement Candidate")))))</x:f>
      </x:c>
    </x:row>
    <x:row r="143">
      <x:c r="C143" s="42"/>
      <x:c r="D143" s="44"/>
      <x:c r="E143" s="44"/>
      <x:c r="F143" s="44"/>
      <x:c r="G143" s="44"/>
      <x:c r="I143" s="44"/>
      <x:c r="J143" s="44"/>
      <x:c r="K143" s="44" t="str">
        <x:f>IF(COUNTA(D143:J143)=0,"",D143*0.25+E143*0.10+F143*0.20+G143*0.10+(H143/5)*0.10+I143*0.15+(1-J143)*0.10)</x:f>
      </x:c>
      <x:c r="L143" t="str">
        <x:f>IF(K143="","",IF(K143&gt;=0.90,"Preferred",IF(K143&gt;=0.80,"Approved",IF(K143&gt;=0.70,"Conditional",IF(K143&gt;=0.60,"Improvement Required","Replacement Candidate")))))</x:f>
      </x:c>
    </x:row>
    <x:row r="144">
      <x:c r="C144" s="42"/>
      <x:c r="D144" s="44"/>
      <x:c r="E144" s="44"/>
      <x:c r="F144" s="44"/>
      <x:c r="G144" s="44"/>
      <x:c r="I144" s="44"/>
      <x:c r="J144" s="44"/>
      <x:c r="K144" s="44" t="str">
        <x:f>IF(COUNTA(D144:J144)=0,"",D144*0.25+E144*0.10+F144*0.20+G144*0.10+(H144/5)*0.10+I144*0.15+(1-J144)*0.10)</x:f>
      </x:c>
      <x:c r="L144" t="str">
        <x:f>IF(K144="","",IF(K144&gt;=0.90,"Preferred",IF(K144&gt;=0.80,"Approved",IF(K144&gt;=0.70,"Conditional",IF(K144&gt;=0.60,"Improvement Required","Replacement Candidate")))))</x:f>
      </x:c>
    </x:row>
    <x:row r="145">
      <x:c r="C145" s="42"/>
      <x:c r="D145" s="44"/>
      <x:c r="E145" s="44"/>
      <x:c r="F145" s="44"/>
      <x:c r="G145" s="44"/>
      <x:c r="I145" s="44"/>
      <x:c r="J145" s="44"/>
      <x:c r="K145" s="44" t="str">
        <x:f>IF(COUNTA(D145:J145)=0,"",D145*0.25+E145*0.10+F145*0.20+G145*0.10+(H145/5)*0.10+I145*0.15+(1-J145)*0.10)</x:f>
      </x:c>
      <x:c r="L145" t="str">
        <x:f>IF(K145="","",IF(K145&gt;=0.90,"Preferred",IF(K145&gt;=0.80,"Approved",IF(K145&gt;=0.70,"Conditional",IF(K145&gt;=0.60,"Improvement Required","Replacement Candidate")))))</x:f>
      </x:c>
    </x:row>
    <x:row r="146">
      <x:c r="C146" s="42"/>
      <x:c r="D146" s="44"/>
      <x:c r="E146" s="44"/>
      <x:c r="F146" s="44"/>
      <x:c r="G146" s="44"/>
      <x:c r="I146" s="44"/>
      <x:c r="J146" s="44"/>
      <x:c r="K146" s="44" t="str">
        <x:f>IF(COUNTA(D146:J146)=0,"",D146*0.25+E146*0.10+F146*0.20+G146*0.10+(H146/5)*0.10+I146*0.15+(1-J146)*0.10)</x:f>
      </x:c>
      <x:c r="L146" t="str">
        <x:f>IF(K146="","",IF(K146&gt;=0.90,"Preferred",IF(K146&gt;=0.80,"Approved",IF(K146&gt;=0.70,"Conditional",IF(K146&gt;=0.60,"Improvement Required","Replacement Candidate")))))</x:f>
      </x:c>
    </x:row>
    <x:row r="147">
      <x:c r="C147" s="42"/>
      <x:c r="D147" s="44"/>
      <x:c r="E147" s="44"/>
      <x:c r="F147" s="44"/>
      <x:c r="G147" s="44"/>
      <x:c r="I147" s="44"/>
      <x:c r="J147" s="44"/>
      <x:c r="K147" s="44" t="str">
        <x:f>IF(COUNTA(D147:J147)=0,"",D147*0.25+E147*0.10+F147*0.20+G147*0.10+(H147/5)*0.10+I147*0.15+(1-J147)*0.10)</x:f>
      </x:c>
      <x:c r="L147" t="str">
        <x:f>IF(K147="","",IF(K147&gt;=0.90,"Preferred",IF(K147&gt;=0.80,"Approved",IF(K147&gt;=0.70,"Conditional",IF(K147&gt;=0.60,"Improvement Required","Replacement Candidate")))))</x:f>
      </x:c>
    </x:row>
    <x:row r="148">
      <x:c r="C148" s="42"/>
      <x:c r="D148" s="44"/>
      <x:c r="E148" s="44"/>
      <x:c r="F148" s="44"/>
      <x:c r="G148" s="44"/>
      <x:c r="I148" s="44"/>
      <x:c r="J148" s="44"/>
      <x:c r="K148" s="44" t="str">
        <x:f>IF(COUNTA(D148:J148)=0,"",D148*0.25+E148*0.10+F148*0.20+G148*0.10+(H148/5)*0.10+I148*0.15+(1-J148)*0.10)</x:f>
      </x:c>
      <x:c r="L148" t="str">
        <x:f>IF(K148="","",IF(K148&gt;=0.90,"Preferred",IF(K148&gt;=0.80,"Approved",IF(K148&gt;=0.70,"Conditional",IF(K148&gt;=0.60,"Improvement Required","Replacement Candidate")))))</x:f>
      </x:c>
    </x:row>
    <x:row r="149">
      <x:c r="C149" s="42"/>
      <x:c r="D149" s="44"/>
      <x:c r="E149" s="44"/>
      <x:c r="F149" s="44"/>
      <x:c r="G149" s="44"/>
      <x:c r="I149" s="44"/>
      <x:c r="J149" s="44"/>
      <x:c r="K149" s="44" t="str">
        <x:f>IF(COUNTA(D149:J149)=0,"",D149*0.25+E149*0.10+F149*0.20+G149*0.10+(H149/5)*0.10+I149*0.15+(1-J149)*0.10)</x:f>
      </x:c>
      <x:c r="L149" t="str">
        <x:f>IF(K149="","",IF(K149&gt;=0.90,"Preferred",IF(K149&gt;=0.80,"Approved",IF(K149&gt;=0.70,"Conditional",IF(K149&gt;=0.60,"Improvement Required","Replacement Candidate")))))</x:f>
      </x:c>
    </x:row>
    <x:row r="150">
      <x:c r="C150" s="42"/>
      <x:c r="D150" s="44"/>
      <x:c r="E150" s="44"/>
      <x:c r="F150" s="44"/>
      <x:c r="G150" s="44"/>
      <x:c r="I150" s="44"/>
      <x:c r="J150" s="44"/>
      <x:c r="K150" s="44" t="str">
        <x:f>IF(COUNTA(D150:J150)=0,"",D150*0.25+E150*0.10+F150*0.20+G150*0.10+(H150/5)*0.10+I150*0.15+(1-J150)*0.10)</x:f>
      </x:c>
      <x:c r="L150" t="str">
        <x:f>IF(K150="","",IF(K150&gt;=0.90,"Preferred",IF(K150&gt;=0.80,"Approved",IF(K150&gt;=0.70,"Conditional",IF(K150&gt;=0.60,"Improvement Required","Replacement Candidate")))))</x:f>
      </x:c>
    </x:row>
    <x:row r="151">
      <x:c r="C151" s="42"/>
      <x:c r="D151" s="44"/>
      <x:c r="E151" s="44"/>
      <x:c r="F151" s="44"/>
      <x:c r="G151" s="44"/>
      <x:c r="I151" s="44"/>
      <x:c r="J151" s="44"/>
      <x:c r="K151" s="44" t="str">
        <x:f>IF(COUNTA(D151:J151)=0,"",D151*0.25+E151*0.10+F151*0.20+G151*0.10+(H151/5)*0.10+I151*0.15+(1-J151)*0.10)</x:f>
      </x:c>
      <x:c r="L151" t="str">
        <x:f>IF(K151="","",IF(K151&gt;=0.90,"Preferred",IF(K151&gt;=0.80,"Approved",IF(K151&gt;=0.70,"Conditional",IF(K151&gt;=0.60,"Improvement Required","Replacement Candidate")))))</x:f>
      </x:c>
    </x:row>
    <x:row r="152">
      <x:c r="C152" s="42"/>
      <x:c r="D152" s="44"/>
      <x:c r="E152" s="44"/>
      <x:c r="F152" s="44"/>
      <x:c r="G152" s="44"/>
      <x:c r="I152" s="44"/>
      <x:c r="J152" s="44"/>
      <x:c r="K152" s="44" t="str">
        <x:f>IF(COUNTA(D152:J152)=0,"",D152*0.25+E152*0.10+F152*0.20+G152*0.10+(H152/5)*0.10+I152*0.15+(1-J152)*0.10)</x:f>
      </x:c>
      <x:c r="L152" t="str">
        <x:f>IF(K152="","",IF(K152&gt;=0.90,"Preferred",IF(K152&gt;=0.80,"Approved",IF(K152&gt;=0.70,"Conditional",IF(K152&gt;=0.60,"Improvement Required","Replacement Candidate")))))</x:f>
      </x:c>
    </x:row>
    <x:row r="153">
      <x:c r="C153" s="42"/>
      <x:c r="D153" s="44"/>
      <x:c r="E153" s="44"/>
      <x:c r="F153" s="44"/>
      <x:c r="G153" s="44"/>
      <x:c r="I153" s="44"/>
      <x:c r="J153" s="44"/>
      <x:c r="K153" s="44" t="str">
        <x:f>IF(COUNTA(D153:J153)=0,"",D153*0.25+E153*0.10+F153*0.20+G153*0.10+(H153/5)*0.10+I153*0.15+(1-J153)*0.10)</x:f>
      </x:c>
      <x:c r="L153" t="str">
        <x:f>IF(K153="","",IF(K153&gt;=0.90,"Preferred",IF(K153&gt;=0.80,"Approved",IF(K153&gt;=0.70,"Conditional",IF(K153&gt;=0.60,"Improvement Required","Replacement Candidate")))))</x:f>
      </x:c>
    </x:row>
    <x:row r="154">
      <x:c r="C154" s="42"/>
      <x:c r="D154" s="44"/>
      <x:c r="E154" s="44"/>
      <x:c r="F154" s="44"/>
      <x:c r="G154" s="44"/>
      <x:c r="I154" s="44"/>
      <x:c r="J154" s="44"/>
      <x:c r="K154" s="44" t="str">
        <x:f>IF(COUNTA(D154:J154)=0,"",D154*0.25+E154*0.10+F154*0.20+G154*0.10+(H154/5)*0.10+I154*0.15+(1-J154)*0.10)</x:f>
      </x:c>
      <x:c r="L154" t="str">
        <x:f>IF(K154="","",IF(K154&gt;=0.90,"Preferred",IF(K154&gt;=0.80,"Approved",IF(K154&gt;=0.70,"Conditional",IF(K154&gt;=0.60,"Improvement Required","Replacement Candidate")))))</x:f>
      </x:c>
    </x:row>
    <x:row r="155">
      <x:c r="C155" s="42"/>
      <x:c r="D155" s="44"/>
      <x:c r="E155" s="44"/>
      <x:c r="F155" s="44"/>
      <x:c r="G155" s="44"/>
      <x:c r="I155" s="44"/>
      <x:c r="J155" s="44"/>
      <x:c r="K155" s="44" t="str">
        <x:f>IF(COUNTA(D155:J155)=0,"",D155*0.25+E155*0.10+F155*0.20+G155*0.10+(H155/5)*0.10+I155*0.15+(1-J155)*0.10)</x:f>
      </x:c>
      <x:c r="L155" t="str">
        <x:f>IF(K155="","",IF(K155&gt;=0.90,"Preferred",IF(K155&gt;=0.80,"Approved",IF(K155&gt;=0.70,"Conditional",IF(K155&gt;=0.60,"Improvement Required","Replacement Candidate")))))</x:f>
      </x:c>
    </x:row>
    <x:row r="156">
      <x:c r="C156" s="42"/>
      <x:c r="D156" s="44"/>
      <x:c r="E156" s="44"/>
      <x:c r="F156" s="44"/>
      <x:c r="G156" s="44"/>
      <x:c r="I156" s="44"/>
      <x:c r="J156" s="44"/>
      <x:c r="K156" s="44" t="str">
        <x:f>IF(COUNTA(D156:J156)=0,"",D156*0.25+E156*0.10+F156*0.20+G156*0.10+(H156/5)*0.10+I156*0.15+(1-J156)*0.10)</x:f>
      </x:c>
      <x:c r="L156" t="str">
        <x:f>IF(K156="","",IF(K156&gt;=0.90,"Preferred",IF(K156&gt;=0.80,"Approved",IF(K156&gt;=0.70,"Conditional",IF(K156&gt;=0.60,"Improvement Required","Replacement Candidate")))))</x:f>
      </x:c>
    </x:row>
    <x:row r="157">
      <x:c r="C157" s="42"/>
      <x:c r="D157" s="44"/>
      <x:c r="E157" s="44"/>
      <x:c r="F157" s="44"/>
      <x:c r="G157" s="44"/>
      <x:c r="I157" s="44"/>
      <x:c r="J157" s="44"/>
      <x:c r="K157" s="44" t="str">
        <x:f>IF(COUNTA(D157:J157)=0,"",D157*0.25+E157*0.10+F157*0.20+G157*0.10+(H157/5)*0.10+I157*0.15+(1-J157)*0.10)</x:f>
      </x:c>
      <x:c r="L157" t="str">
        <x:f>IF(K157="","",IF(K157&gt;=0.90,"Preferred",IF(K157&gt;=0.80,"Approved",IF(K157&gt;=0.70,"Conditional",IF(K157&gt;=0.60,"Improvement Required","Replacement Candidate")))))</x:f>
      </x:c>
    </x:row>
    <x:row r="158">
      <x:c r="C158" s="42"/>
      <x:c r="D158" s="44"/>
      <x:c r="E158" s="44"/>
      <x:c r="F158" s="44"/>
      <x:c r="G158" s="44"/>
      <x:c r="I158" s="44"/>
      <x:c r="J158" s="44"/>
      <x:c r="K158" s="44" t="str">
        <x:f>IF(COUNTA(D158:J158)=0,"",D158*0.25+E158*0.10+F158*0.20+G158*0.10+(H158/5)*0.10+I158*0.15+(1-J158)*0.10)</x:f>
      </x:c>
      <x:c r="L158" t="str">
        <x:f>IF(K158="","",IF(K158&gt;=0.90,"Preferred",IF(K158&gt;=0.80,"Approved",IF(K158&gt;=0.70,"Conditional",IF(K158&gt;=0.60,"Improvement Required","Replacement Candidate")))))</x:f>
      </x:c>
    </x:row>
    <x:row r="159">
      <x:c r="C159" s="42"/>
      <x:c r="D159" s="44"/>
      <x:c r="E159" s="44"/>
      <x:c r="F159" s="44"/>
      <x:c r="G159" s="44"/>
      <x:c r="I159" s="44"/>
      <x:c r="J159" s="44"/>
      <x:c r="K159" s="44" t="str">
        <x:f>IF(COUNTA(D159:J159)=0,"",D159*0.25+E159*0.10+F159*0.20+G159*0.10+(H159/5)*0.10+I159*0.15+(1-J159)*0.10)</x:f>
      </x:c>
      <x:c r="L159" t="str">
        <x:f>IF(K159="","",IF(K159&gt;=0.90,"Preferred",IF(K159&gt;=0.80,"Approved",IF(K159&gt;=0.70,"Conditional",IF(K159&gt;=0.60,"Improvement Required","Replacement Candidate")))))</x:f>
      </x:c>
    </x:row>
    <x:row r="160">
      <x:c r="C160" s="42"/>
      <x:c r="D160" s="44"/>
      <x:c r="E160" s="44"/>
      <x:c r="F160" s="44"/>
      <x:c r="G160" s="44"/>
      <x:c r="I160" s="44"/>
      <x:c r="J160" s="44"/>
      <x:c r="K160" s="44" t="str">
        <x:f>IF(COUNTA(D160:J160)=0,"",D160*0.25+E160*0.10+F160*0.20+G160*0.10+(H160/5)*0.10+I160*0.15+(1-J160)*0.10)</x:f>
      </x:c>
      <x:c r="L160" t="str">
        <x:f>IF(K160="","",IF(K160&gt;=0.90,"Preferred",IF(K160&gt;=0.80,"Approved",IF(K160&gt;=0.70,"Conditional",IF(K160&gt;=0.60,"Improvement Required","Replacement Candidate")))))</x:f>
      </x:c>
    </x:row>
    <x:row r="161">
      <x:c r="C161" s="42"/>
      <x:c r="D161" s="44"/>
      <x:c r="E161" s="44"/>
      <x:c r="F161" s="44"/>
      <x:c r="G161" s="44"/>
      <x:c r="I161" s="44"/>
      <x:c r="J161" s="44"/>
      <x:c r="K161" s="44" t="str">
        <x:f>IF(COUNTA(D161:J161)=0,"",D161*0.25+E161*0.10+F161*0.20+G161*0.10+(H161/5)*0.10+I161*0.15+(1-J161)*0.10)</x:f>
      </x:c>
      <x:c r="L161" t="str">
        <x:f>IF(K161="","",IF(K161&gt;=0.90,"Preferred",IF(K161&gt;=0.80,"Approved",IF(K161&gt;=0.70,"Conditional",IF(K161&gt;=0.60,"Improvement Required","Replacement Candidate")))))</x:f>
      </x:c>
    </x:row>
    <x:row r="162">
      <x:c r="C162" s="42"/>
      <x:c r="D162" s="44"/>
      <x:c r="E162" s="44"/>
      <x:c r="F162" s="44"/>
      <x:c r="G162" s="44"/>
      <x:c r="I162" s="44"/>
      <x:c r="J162" s="44"/>
      <x:c r="K162" s="44" t="str">
        <x:f>IF(COUNTA(D162:J162)=0,"",D162*0.25+E162*0.10+F162*0.20+G162*0.10+(H162/5)*0.10+I162*0.15+(1-J162)*0.10)</x:f>
      </x:c>
      <x:c r="L162" t="str">
        <x:f>IF(K162="","",IF(K162&gt;=0.90,"Preferred",IF(K162&gt;=0.80,"Approved",IF(K162&gt;=0.70,"Conditional",IF(K162&gt;=0.60,"Improvement Required","Replacement Candidate")))))</x:f>
      </x:c>
    </x:row>
    <x:row r="163">
      <x:c r="C163" s="42"/>
      <x:c r="D163" s="44"/>
      <x:c r="E163" s="44"/>
      <x:c r="F163" s="44"/>
      <x:c r="G163" s="44"/>
      <x:c r="I163" s="44"/>
      <x:c r="J163" s="44"/>
      <x:c r="K163" s="44" t="str">
        <x:f>IF(COUNTA(D163:J163)=0,"",D163*0.25+E163*0.10+F163*0.20+G163*0.10+(H163/5)*0.10+I163*0.15+(1-J163)*0.10)</x:f>
      </x:c>
      <x:c r="L163" t="str">
        <x:f>IF(K163="","",IF(K163&gt;=0.90,"Preferred",IF(K163&gt;=0.80,"Approved",IF(K163&gt;=0.70,"Conditional",IF(K163&gt;=0.60,"Improvement Required","Replacement Candidate")))))</x:f>
      </x:c>
    </x:row>
    <x:row r="164">
      <x:c r="C164" s="42"/>
      <x:c r="D164" s="44"/>
      <x:c r="E164" s="44"/>
      <x:c r="F164" s="44"/>
      <x:c r="G164" s="44"/>
      <x:c r="I164" s="44"/>
      <x:c r="J164" s="44"/>
      <x:c r="K164" s="44" t="str">
        <x:f>IF(COUNTA(D164:J164)=0,"",D164*0.25+E164*0.10+F164*0.20+G164*0.10+(H164/5)*0.10+I164*0.15+(1-J164)*0.10)</x:f>
      </x:c>
      <x:c r="L164" t="str">
        <x:f>IF(K164="","",IF(K164&gt;=0.90,"Preferred",IF(K164&gt;=0.80,"Approved",IF(K164&gt;=0.70,"Conditional",IF(K164&gt;=0.60,"Improvement Required","Replacement Candidate")))))</x:f>
      </x:c>
    </x:row>
    <x:row r="165">
      <x:c r="C165" s="42"/>
      <x:c r="D165" s="44"/>
      <x:c r="E165" s="44"/>
      <x:c r="F165" s="44"/>
      <x:c r="G165" s="44"/>
      <x:c r="I165" s="44"/>
      <x:c r="J165" s="44"/>
      <x:c r="K165" s="44" t="str">
        <x:f>IF(COUNTA(D165:J165)=0,"",D165*0.25+E165*0.10+F165*0.20+G165*0.10+(H165/5)*0.10+I165*0.15+(1-J165)*0.10)</x:f>
      </x:c>
      <x:c r="L165" t="str">
        <x:f>IF(K165="","",IF(K165&gt;=0.90,"Preferred",IF(K165&gt;=0.80,"Approved",IF(K165&gt;=0.70,"Conditional",IF(K165&gt;=0.60,"Improvement Required","Replacement Candidate")))))</x:f>
      </x:c>
    </x:row>
    <x:row r="166">
      <x:c r="C166" s="42"/>
      <x:c r="D166" s="44"/>
      <x:c r="E166" s="44"/>
      <x:c r="F166" s="44"/>
      <x:c r="G166" s="44"/>
      <x:c r="I166" s="44"/>
      <x:c r="J166" s="44"/>
      <x:c r="K166" s="44" t="str">
        <x:f>IF(COUNTA(D166:J166)=0,"",D166*0.25+E166*0.10+F166*0.20+G166*0.10+(H166/5)*0.10+I166*0.15+(1-J166)*0.10)</x:f>
      </x:c>
      <x:c r="L166" t="str">
        <x:f>IF(K166="","",IF(K166&gt;=0.90,"Preferred",IF(K166&gt;=0.80,"Approved",IF(K166&gt;=0.70,"Conditional",IF(K166&gt;=0.60,"Improvement Required","Replacement Candidate")))))</x:f>
      </x:c>
    </x:row>
    <x:row r="167">
      <x:c r="C167" s="42"/>
      <x:c r="D167" s="44"/>
      <x:c r="E167" s="44"/>
      <x:c r="F167" s="44"/>
      <x:c r="G167" s="44"/>
      <x:c r="I167" s="44"/>
      <x:c r="J167" s="44"/>
      <x:c r="K167" s="44" t="str">
        <x:f>IF(COUNTA(D167:J167)=0,"",D167*0.25+E167*0.10+F167*0.20+G167*0.10+(H167/5)*0.10+I167*0.15+(1-J167)*0.10)</x:f>
      </x:c>
      <x:c r="L167" t="str">
        <x:f>IF(K167="","",IF(K167&gt;=0.90,"Preferred",IF(K167&gt;=0.80,"Approved",IF(K167&gt;=0.70,"Conditional",IF(K167&gt;=0.60,"Improvement Required","Replacement Candidate")))))</x:f>
      </x:c>
    </x:row>
    <x:row r="168">
      <x:c r="C168" s="42"/>
      <x:c r="D168" s="44"/>
      <x:c r="E168" s="44"/>
      <x:c r="F168" s="44"/>
      <x:c r="G168" s="44"/>
      <x:c r="I168" s="44"/>
      <x:c r="J168" s="44"/>
      <x:c r="K168" s="44" t="str">
        <x:f>IF(COUNTA(D168:J168)=0,"",D168*0.25+E168*0.10+F168*0.20+G168*0.10+(H168/5)*0.10+I168*0.15+(1-J168)*0.10)</x:f>
      </x:c>
      <x:c r="L168" t="str">
        <x:f>IF(K168="","",IF(K168&gt;=0.90,"Preferred",IF(K168&gt;=0.80,"Approved",IF(K168&gt;=0.70,"Conditional",IF(K168&gt;=0.60,"Improvement Required","Replacement Candidate")))))</x:f>
      </x:c>
    </x:row>
    <x:row r="169">
      <x:c r="C169" s="42"/>
      <x:c r="D169" s="44"/>
      <x:c r="E169" s="44"/>
      <x:c r="F169" s="44"/>
      <x:c r="G169" s="44"/>
      <x:c r="I169" s="44"/>
      <x:c r="J169" s="44"/>
      <x:c r="K169" s="44" t="str">
        <x:f>IF(COUNTA(D169:J169)=0,"",D169*0.25+E169*0.10+F169*0.20+G169*0.10+(H169/5)*0.10+I169*0.15+(1-J169)*0.10)</x:f>
      </x:c>
      <x:c r="L169" t="str">
        <x:f>IF(K169="","",IF(K169&gt;=0.90,"Preferred",IF(K169&gt;=0.80,"Approved",IF(K169&gt;=0.70,"Conditional",IF(K169&gt;=0.60,"Improvement Required","Replacement Candidate")))))</x:f>
      </x:c>
    </x:row>
    <x:row r="170">
      <x:c r="C170" s="42"/>
      <x:c r="D170" s="44"/>
      <x:c r="E170" s="44"/>
      <x:c r="F170" s="44"/>
      <x:c r="G170" s="44"/>
      <x:c r="I170" s="44"/>
      <x:c r="J170" s="44"/>
      <x:c r="K170" s="44" t="str">
        <x:f>IF(COUNTA(D170:J170)=0,"",D170*0.25+E170*0.10+F170*0.20+G170*0.10+(H170/5)*0.10+I170*0.15+(1-J170)*0.10)</x:f>
      </x:c>
      <x:c r="L170" t="str">
        <x:f>IF(K170="","",IF(K170&gt;=0.90,"Preferred",IF(K170&gt;=0.80,"Approved",IF(K170&gt;=0.70,"Conditional",IF(K170&gt;=0.60,"Improvement Required","Replacement Candidate")))))</x:f>
      </x:c>
    </x:row>
    <x:row r="171">
      <x:c r="C171" s="42"/>
      <x:c r="D171" s="44"/>
      <x:c r="E171" s="44"/>
      <x:c r="F171" s="44"/>
      <x:c r="G171" s="44"/>
      <x:c r="I171" s="44"/>
      <x:c r="J171" s="44"/>
      <x:c r="K171" s="44" t="str">
        <x:f>IF(COUNTA(D171:J171)=0,"",D171*0.25+E171*0.10+F171*0.20+G171*0.10+(H171/5)*0.10+I171*0.15+(1-J171)*0.10)</x:f>
      </x:c>
      <x:c r="L171" t="str">
        <x:f>IF(K171="","",IF(K171&gt;=0.90,"Preferred",IF(K171&gt;=0.80,"Approved",IF(K171&gt;=0.70,"Conditional",IF(K171&gt;=0.60,"Improvement Required","Replacement Candidate")))))</x:f>
      </x:c>
    </x:row>
    <x:row r="172">
      <x:c r="C172" s="42"/>
      <x:c r="D172" s="44"/>
      <x:c r="E172" s="44"/>
      <x:c r="F172" s="44"/>
      <x:c r="G172" s="44"/>
      <x:c r="I172" s="44"/>
      <x:c r="J172" s="44"/>
      <x:c r="K172" s="44" t="str">
        <x:f>IF(COUNTA(D172:J172)=0,"",D172*0.25+E172*0.10+F172*0.20+G172*0.10+(H172/5)*0.10+I172*0.15+(1-J172)*0.10)</x:f>
      </x:c>
      <x:c r="L172" t="str">
        <x:f>IF(K172="","",IF(K172&gt;=0.90,"Preferred",IF(K172&gt;=0.80,"Approved",IF(K172&gt;=0.70,"Conditional",IF(K172&gt;=0.60,"Improvement Required","Replacement Candidate")))))</x:f>
      </x:c>
    </x:row>
    <x:row r="173">
      <x:c r="C173" s="42"/>
      <x:c r="D173" s="44"/>
      <x:c r="E173" s="44"/>
      <x:c r="F173" s="44"/>
      <x:c r="G173" s="44"/>
      <x:c r="I173" s="44"/>
      <x:c r="J173" s="44"/>
      <x:c r="K173" s="44" t="str">
        <x:f>IF(COUNTA(D173:J173)=0,"",D173*0.25+E173*0.10+F173*0.20+G173*0.10+(H173/5)*0.10+I173*0.15+(1-J173)*0.10)</x:f>
      </x:c>
      <x:c r="L173" t="str">
        <x:f>IF(K173="","",IF(K173&gt;=0.90,"Preferred",IF(K173&gt;=0.80,"Approved",IF(K173&gt;=0.70,"Conditional",IF(K173&gt;=0.60,"Improvement Required","Replacement Candidate")))))</x:f>
      </x:c>
    </x:row>
    <x:row r="174">
      <x:c r="C174" s="42"/>
      <x:c r="D174" s="44"/>
      <x:c r="E174" s="44"/>
      <x:c r="F174" s="44"/>
      <x:c r="G174" s="44"/>
      <x:c r="I174" s="44"/>
      <x:c r="J174" s="44"/>
      <x:c r="K174" s="44" t="str">
        <x:f>IF(COUNTA(D174:J174)=0,"",D174*0.25+E174*0.10+F174*0.20+G174*0.10+(H174/5)*0.10+I174*0.15+(1-J174)*0.10)</x:f>
      </x:c>
      <x:c r="L174" t="str">
        <x:f>IF(K174="","",IF(K174&gt;=0.90,"Preferred",IF(K174&gt;=0.80,"Approved",IF(K174&gt;=0.70,"Conditional",IF(K174&gt;=0.60,"Improvement Required","Replacement Candidate")))))</x:f>
      </x:c>
    </x:row>
    <x:row r="175">
      <x:c r="C175" s="42"/>
      <x:c r="D175" s="44"/>
      <x:c r="E175" s="44"/>
      <x:c r="F175" s="44"/>
      <x:c r="G175" s="44"/>
      <x:c r="I175" s="44"/>
      <x:c r="J175" s="44"/>
      <x:c r="K175" s="44" t="str">
        <x:f>IF(COUNTA(D175:J175)=0,"",D175*0.25+E175*0.10+F175*0.20+G175*0.10+(H175/5)*0.10+I175*0.15+(1-J175)*0.10)</x:f>
      </x:c>
      <x:c r="L175" t="str">
        <x:f>IF(K175="","",IF(K175&gt;=0.90,"Preferred",IF(K175&gt;=0.80,"Approved",IF(K175&gt;=0.70,"Conditional",IF(K175&gt;=0.60,"Improvement Required","Replacement Candidate")))))</x:f>
      </x:c>
    </x:row>
    <x:row r="176">
      <x:c r="C176" s="42"/>
      <x:c r="D176" s="44"/>
      <x:c r="E176" s="44"/>
      <x:c r="F176" s="44"/>
      <x:c r="G176" s="44"/>
      <x:c r="I176" s="44"/>
      <x:c r="J176" s="44"/>
      <x:c r="K176" s="44" t="str">
        <x:f>IF(COUNTA(D176:J176)=0,"",D176*0.25+E176*0.10+F176*0.20+G176*0.10+(H176/5)*0.10+I176*0.15+(1-J176)*0.10)</x:f>
      </x:c>
      <x:c r="L176" t="str">
        <x:f>IF(K176="","",IF(K176&gt;=0.90,"Preferred",IF(K176&gt;=0.80,"Approved",IF(K176&gt;=0.70,"Conditional",IF(K176&gt;=0.60,"Improvement Required","Replacement Candidate")))))</x:f>
      </x:c>
    </x:row>
    <x:row r="177">
      <x:c r="C177" s="42"/>
      <x:c r="D177" s="44"/>
      <x:c r="E177" s="44"/>
      <x:c r="F177" s="44"/>
      <x:c r="G177" s="44"/>
      <x:c r="I177" s="44"/>
      <x:c r="J177" s="44"/>
      <x:c r="K177" s="44" t="str">
        <x:f>IF(COUNTA(D177:J177)=0,"",D177*0.25+E177*0.10+F177*0.20+G177*0.10+(H177/5)*0.10+I177*0.15+(1-J177)*0.10)</x:f>
      </x:c>
      <x:c r="L177" t="str">
        <x:f>IF(K177="","",IF(K177&gt;=0.90,"Preferred",IF(K177&gt;=0.80,"Approved",IF(K177&gt;=0.70,"Conditional",IF(K177&gt;=0.60,"Improvement Required","Replacement Candidate")))))</x:f>
      </x:c>
    </x:row>
    <x:row r="178">
      <x:c r="C178" s="42"/>
      <x:c r="D178" s="44"/>
      <x:c r="E178" s="44"/>
      <x:c r="F178" s="44"/>
      <x:c r="G178" s="44"/>
      <x:c r="I178" s="44"/>
      <x:c r="J178" s="44"/>
      <x:c r="K178" s="44" t="str">
        <x:f>IF(COUNTA(D178:J178)=0,"",D178*0.25+E178*0.10+F178*0.20+G178*0.10+(H178/5)*0.10+I178*0.15+(1-J178)*0.10)</x:f>
      </x:c>
      <x:c r="L178" t="str">
        <x:f>IF(K178="","",IF(K178&gt;=0.90,"Preferred",IF(K178&gt;=0.80,"Approved",IF(K178&gt;=0.70,"Conditional",IF(K178&gt;=0.60,"Improvement Required","Replacement Candidate")))))</x:f>
      </x:c>
    </x:row>
    <x:row r="179">
      <x:c r="C179" s="42"/>
      <x:c r="D179" s="44"/>
      <x:c r="E179" s="44"/>
      <x:c r="F179" s="44"/>
      <x:c r="G179" s="44"/>
      <x:c r="I179" s="44"/>
      <x:c r="J179" s="44"/>
      <x:c r="K179" s="44" t="str">
        <x:f>IF(COUNTA(D179:J179)=0,"",D179*0.25+E179*0.10+F179*0.20+G179*0.10+(H179/5)*0.10+I179*0.15+(1-J179)*0.10)</x:f>
      </x:c>
      <x:c r="L179" t="str">
        <x:f>IF(K179="","",IF(K179&gt;=0.90,"Preferred",IF(K179&gt;=0.80,"Approved",IF(K179&gt;=0.70,"Conditional",IF(K179&gt;=0.60,"Improvement Required","Replacement Candidate")))))</x:f>
      </x:c>
    </x:row>
    <x:row r="180">
      <x:c r="C180" s="42"/>
      <x:c r="D180" s="44"/>
      <x:c r="E180" s="44"/>
      <x:c r="F180" s="44"/>
      <x:c r="G180" s="44"/>
      <x:c r="I180" s="44"/>
      <x:c r="J180" s="44"/>
      <x:c r="K180" s="44" t="str">
        <x:f>IF(COUNTA(D180:J180)=0,"",D180*0.25+E180*0.10+F180*0.20+G180*0.10+(H180/5)*0.10+I180*0.15+(1-J180)*0.10)</x:f>
      </x:c>
      <x:c r="L180" t="str">
        <x:f>IF(K180="","",IF(K180&gt;=0.90,"Preferred",IF(K180&gt;=0.80,"Approved",IF(K180&gt;=0.70,"Conditional",IF(K180&gt;=0.60,"Improvement Required","Replacement Candidate")))))</x:f>
      </x:c>
    </x:row>
    <x:row r="181">
      <x:c r="C181" s="42"/>
      <x:c r="D181" s="44"/>
      <x:c r="E181" s="44"/>
      <x:c r="F181" s="44"/>
      <x:c r="G181" s="44"/>
      <x:c r="I181" s="44"/>
      <x:c r="J181" s="44"/>
      <x:c r="K181" s="44" t="str">
        <x:f>IF(COUNTA(D181:J181)=0,"",D181*0.25+E181*0.10+F181*0.20+G181*0.10+(H181/5)*0.10+I181*0.15+(1-J181)*0.10)</x:f>
      </x:c>
      <x:c r="L181" t="str">
        <x:f>IF(K181="","",IF(K181&gt;=0.90,"Preferred",IF(K181&gt;=0.80,"Approved",IF(K181&gt;=0.70,"Conditional",IF(K181&gt;=0.60,"Improvement Required","Replacement Candidate")))))</x:f>
      </x:c>
    </x:row>
    <x:row r="182">
      <x:c r="C182" s="42"/>
      <x:c r="D182" s="44"/>
      <x:c r="E182" s="44"/>
      <x:c r="F182" s="44"/>
      <x:c r="G182" s="44"/>
      <x:c r="I182" s="44"/>
      <x:c r="J182" s="44"/>
      <x:c r="K182" s="44" t="str">
        <x:f>IF(COUNTA(D182:J182)=0,"",D182*0.25+E182*0.10+F182*0.20+G182*0.10+(H182/5)*0.10+I182*0.15+(1-J182)*0.10)</x:f>
      </x:c>
      <x:c r="L182" t="str">
        <x:f>IF(K182="","",IF(K182&gt;=0.90,"Preferred",IF(K182&gt;=0.80,"Approved",IF(K182&gt;=0.70,"Conditional",IF(K182&gt;=0.60,"Improvement Required","Replacement Candidate")))))</x:f>
      </x:c>
    </x:row>
    <x:row r="183">
      <x:c r="C183" s="42"/>
      <x:c r="D183" s="44"/>
      <x:c r="E183" s="44"/>
      <x:c r="F183" s="44"/>
      <x:c r="G183" s="44"/>
      <x:c r="I183" s="44"/>
      <x:c r="J183" s="44"/>
      <x:c r="K183" s="44" t="str">
        <x:f>IF(COUNTA(D183:J183)=0,"",D183*0.25+E183*0.10+F183*0.20+G183*0.10+(H183/5)*0.10+I183*0.15+(1-J183)*0.10)</x:f>
      </x:c>
      <x:c r="L183" t="str">
        <x:f>IF(K183="","",IF(K183&gt;=0.90,"Preferred",IF(K183&gt;=0.80,"Approved",IF(K183&gt;=0.70,"Conditional",IF(K183&gt;=0.60,"Improvement Required","Replacement Candidate")))))</x:f>
      </x:c>
    </x:row>
    <x:row r="184">
      <x:c r="C184" s="42"/>
      <x:c r="D184" s="44"/>
      <x:c r="E184" s="44"/>
      <x:c r="F184" s="44"/>
      <x:c r="G184" s="44"/>
      <x:c r="I184" s="44"/>
      <x:c r="J184" s="44"/>
      <x:c r="K184" s="44" t="str">
        <x:f>IF(COUNTA(D184:J184)=0,"",D184*0.25+E184*0.10+F184*0.20+G184*0.10+(H184/5)*0.10+I184*0.15+(1-J184)*0.10)</x:f>
      </x:c>
      <x:c r="L184" t="str">
        <x:f>IF(K184="","",IF(K184&gt;=0.90,"Preferred",IF(K184&gt;=0.80,"Approved",IF(K184&gt;=0.70,"Conditional",IF(K184&gt;=0.60,"Improvement Required","Replacement Candidate")))))</x:f>
      </x:c>
    </x:row>
    <x:row r="185">
      <x:c r="C185" s="42"/>
      <x:c r="D185" s="44"/>
      <x:c r="E185" s="44"/>
      <x:c r="F185" s="44"/>
      <x:c r="G185" s="44"/>
      <x:c r="I185" s="44"/>
      <x:c r="J185" s="44"/>
      <x:c r="K185" s="44" t="str">
        <x:f>IF(COUNTA(D185:J185)=0,"",D185*0.25+E185*0.10+F185*0.20+G185*0.10+(H185/5)*0.10+I185*0.15+(1-J185)*0.10)</x:f>
      </x:c>
      <x:c r="L185" t="str">
        <x:f>IF(K185="","",IF(K185&gt;=0.90,"Preferred",IF(K185&gt;=0.80,"Approved",IF(K185&gt;=0.70,"Conditional",IF(K185&gt;=0.60,"Improvement Required","Replacement Candidate")))))</x:f>
      </x:c>
    </x:row>
    <x:row r="186">
      <x:c r="C186" s="42"/>
      <x:c r="D186" s="44"/>
      <x:c r="E186" s="44"/>
      <x:c r="F186" s="44"/>
      <x:c r="G186" s="44"/>
      <x:c r="I186" s="44"/>
      <x:c r="J186" s="44"/>
      <x:c r="K186" s="44" t="str">
        <x:f>IF(COUNTA(D186:J186)=0,"",D186*0.25+E186*0.10+F186*0.20+G186*0.10+(H186/5)*0.10+I186*0.15+(1-J186)*0.10)</x:f>
      </x:c>
      <x:c r="L186" t="str">
        <x:f>IF(K186="","",IF(K186&gt;=0.90,"Preferred",IF(K186&gt;=0.80,"Approved",IF(K186&gt;=0.70,"Conditional",IF(K186&gt;=0.60,"Improvement Required","Replacement Candidate")))))</x:f>
      </x:c>
    </x:row>
    <x:row r="187">
      <x:c r="C187" s="42"/>
      <x:c r="D187" s="44"/>
      <x:c r="E187" s="44"/>
      <x:c r="F187" s="44"/>
      <x:c r="G187" s="44"/>
      <x:c r="I187" s="44"/>
      <x:c r="J187" s="44"/>
      <x:c r="K187" s="44" t="str">
        <x:f>IF(COUNTA(D187:J187)=0,"",D187*0.25+E187*0.10+F187*0.20+G187*0.10+(H187/5)*0.10+I187*0.15+(1-J187)*0.10)</x:f>
      </x:c>
      <x:c r="L187" t="str">
        <x:f>IF(K187="","",IF(K187&gt;=0.90,"Preferred",IF(K187&gt;=0.80,"Approved",IF(K187&gt;=0.70,"Conditional",IF(K187&gt;=0.60,"Improvement Required","Replacement Candidate")))))</x:f>
      </x:c>
    </x:row>
    <x:row r="188">
      <x:c r="C188" s="42"/>
      <x:c r="D188" s="44"/>
      <x:c r="E188" s="44"/>
      <x:c r="F188" s="44"/>
      <x:c r="G188" s="44"/>
      <x:c r="I188" s="44"/>
      <x:c r="J188" s="44"/>
      <x:c r="K188" s="44" t="str">
        <x:f>IF(COUNTA(D188:J188)=0,"",D188*0.25+E188*0.10+F188*0.20+G188*0.10+(H188/5)*0.10+I188*0.15+(1-J188)*0.10)</x:f>
      </x:c>
      <x:c r="L188" t="str">
        <x:f>IF(K188="","",IF(K188&gt;=0.90,"Preferred",IF(K188&gt;=0.80,"Approved",IF(K188&gt;=0.70,"Conditional",IF(K188&gt;=0.60,"Improvement Required","Replacement Candidate")))))</x:f>
      </x:c>
    </x:row>
    <x:row r="189">
      <x:c r="C189" s="42"/>
      <x:c r="D189" s="44"/>
      <x:c r="E189" s="44"/>
      <x:c r="F189" s="44"/>
      <x:c r="G189" s="44"/>
      <x:c r="I189" s="44"/>
      <x:c r="J189" s="44"/>
      <x:c r="K189" s="44" t="str">
        <x:f>IF(COUNTA(D189:J189)=0,"",D189*0.25+E189*0.10+F189*0.20+G189*0.10+(H189/5)*0.10+I189*0.15+(1-J189)*0.10)</x:f>
      </x:c>
      <x:c r="L189" t="str">
        <x:f>IF(K189="","",IF(K189&gt;=0.90,"Preferred",IF(K189&gt;=0.80,"Approved",IF(K189&gt;=0.70,"Conditional",IF(K189&gt;=0.60,"Improvement Required","Replacement Candidate")))))</x:f>
      </x:c>
    </x:row>
    <x:row r="190">
      <x:c r="C190" s="42"/>
      <x:c r="D190" s="44"/>
      <x:c r="E190" s="44"/>
      <x:c r="F190" s="44"/>
      <x:c r="G190" s="44"/>
      <x:c r="I190" s="44"/>
      <x:c r="J190" s="44"/>
      <x:c r="K190" s="44" t="str">
        <x:f>IF(COUNTA(D190:J190)=0,"",D190*0.25+E190*0.10+F190*0.20+G190*0.10+(H190/5)*0.10+I190*0.15+(1-J190)*0.10)</x:f>
      </x:c>
      <x:c r="L190" t="str">
        <x:f>IF(K190="","",IF(K190&gt;=0.90,"Preferred",IF(K190&gt;=0.80,"Approved",IF(K190&gt;=0.70,"Conditional",IF(K190&gt;=0.60,"Improvement Required","Replacement Candidate")))))</x:f>
      </x:c>
    </x:row>
    <x:row r="191">
      <x:c r="C191" s="42"/>
      <x:c r="D191" s="44"/>
      <x:c r="E191" s="44"/>
      <x:c r="F191" s="44"/>
      <x:c r="G191" s="44"/>
      <x:c r="I191" s="44"/>
      <x:c r="J191" s="44"/>
      <x:c r="K191" s="44" t="str">
        <x:f>IF(COUNTA(D191:J191)=0,"",D191*0.25+E191*0.10+F191*0.20+G191*0.10+(H191/5)*0.10+I191*0.15+(1-J191)*0.10)</x:f>
      </x:c>
      <x:c r="L191" t="str">
        <x:f>IF(K191="","",IF(K191&gt;=0.90,"Preferred",IF(K191&gt;=0.80,"Approved",IF(K191&gt;=0.70,"Conditional",IF(K191&gt;=0.60,"Improvement Required","Replacement Candidate")))))</x:f>
      </x:c>
    </x:row>
    <x:row r="192">
      <x:c r="C192" s="42"/>
      <x:c r="D192" s="44"/>
      <x:c r="E192" s="44"/>
      <x:c r="F192" s="44"/>
      <x:c r="G192" s="44"/>
      <x:c r="I192" s="44"/>
      <x:c r="J192" s="44"/>
      <x:c r="K192" s="44" t="str">
        <x:f>IF(COUNTA(D192:J192)=0,"",D192*0.25+E192*0.10+F192*0.20+G192*0.10+(H192/5)*0.10+I192*0.15+(1-J192)*0.10)</x:f>
      </x:c>
      <x:c r="L192" t="str">
        <x:f>IF(K192="","",IF(K192&gt;=0.90,"Preferred",IF(K192&gt;=0.80,"Approved",IF(K192&gt;=0.70,"Conditional",IF(K192&gt;=0.60,"Improvement Required","Replacement Candidate")))))</x:f>
      </x:c>
    </x:row>
    <x:row r="193">
      <x:c r="C193" s="42"/>
      <x:c r="D193" s="44"/>
      <x:c r="E193" s="44"/>
      <x:c r="F193" s="44"/>
      <x:c r="G193" s="44"/>
      <x:c r="I193" s="44"/>
      <x:c r="J193" s="44"/>
      <x:c r="K193" s="44" t="str">
        <x:f>IF(COUNTA(D193:J193)=0,"",D193*0.25+E193*0.10+F193*0.20+G193*0.10+(H193/5)*0.10+I193*0.15+(1-J193)*0.10)</x:f>
      </x:c>
      <x:c r="L193" t="str">
        <x:f>IF(K193="","",IF(K193&gt;=0.90,"Preferred",IF(K193&gt;=0.80,"Approved",IF(K193&gt;=0.70,"Conditional",IF(K193&gt;=0.60,"Improvement Required","Replacement Candidate")))))</x:f>
      </x:c>
    </x:row>
    <x:row r="194">
      <x:c r="C194" s="42"/>
      <x:c r="D194" s="44"/>
      <x:c r="E194" s="44"/>
      <x:c r="F194" s="44"/>
      <x:c r="G194" s="44"/>
      <x:c r="I194" s="44"/>
      <x:c r="J194" s="44"/>
      <x:c r="K194" s="44" t="str">
        <x:f>IF(COUNTA(D194:J194)=0,"",D194*0.25+E194*0.10+F194*0.20+G194*0.10+(H194/5)*0.10+I194*0.15+(1-J194)*0.10)</x:f>
      </x:c>
      <x:c r="L194" t="str">
        <x:f>IF(K194="","",IF(K194&gt;=0.90,"Preferred",IF(K194&gt;=0.80,"Approved",IF(K194&gt;=0.70,"Conditional",IF(K194&gt;=0.60,"Improvement Required","Replacement Candidate")))))</x:f>
      </x:c>
    </x:row>
    <x:row r="195">
      <x:c r="C195" s="42"/>
      <x:c r="D195" s="44"/>
      <x:c r="E195" s="44"/>
      <x:c r="F195" s="44"/>
      <x:c r="G195" s="44"/>
      <x:c r="I195" s="44"/>
      <x:c r="J195" s="44"/>
      <x:c r="K195" s="44" t="str">
        <x:f>IF(COUNTA(D195:J195)=0,"",D195*0.25+E195*0.10+F195*0.20+G195*0.10+(H195/5)*0.10+I195*0.15+(1-J195)*0.10)</x:f>
      </x:c>
      <x:c r="L195" t="str">
        <x:f>IF(K195="","",IF(K195&gt;=0.90,"Preferred",IF(K195&gt;=0.80,"Approved",IF(K195&gt;=0.70,"Conditional",IF(K195&gt;=0.60,"Improvement Required","Replacement Candidate")))))</x:f>
      </x:c>
    </x:row>
    <x:row r="196">
      <x:c r="C196" s="42"/>
      <x:c r="D196" s="44"/>
      <x:c r="E196" s="44"/>
      <x:c r="F196" s="44"/>
      <x:c r="G196" s="44"/>
      <x:c r="I196" s="44"/>
      <x:c r="J196" s="44"/>
      <x:c r="K196" s="44" t="str">
        <x:f>IF(COUNTA(D196:J196)=0,"",D196*0.25+E196*0.10+F196*0.20+G196*0.10+(H196/5)*0.10+I196*0.15+(1-J196)*0.10)</x:f>
      </x:c>
      <x:c r="L196" t="str">
        <x:f>IF(K196="","",IF(K196&gt;=0.90,"Preferred",IF(K196&gt;=0.80,"Approved",IF(K196&gt;=0.70,"Conditional",IF(K196&gt;=0.60,"Improvement Required","Replacement Candidate")))))</x:f>
      </x:c>
    </x:row>
    <x:row r="197">
      <x:c r="C197" s="42"/>
      <x:c r="D197" s="44"/>
      <x:c r="E197" s="44"/>
      <x:c r="F197" s="44"/>
      <x:c r="G197" s="44"/>
      <x:c r="I197" s="44"/>
      <x:c r="J197" s="44"/>
      <x:c r="K197" s="44" t="str">
        <x:f>IF(COUNTA(D197:J197)=0,"",D197*0.25+E197*0.10+F197*0.20+G197*0.10+(H197/5)*0.10+I197*0.15+(1-J197)*0.10)</x:f>
      </x:c>
      <x:c r="L197" t="str">
        <x:f>IF(K197="","",IF(K197&gt;=0.90,"Preferred",IF(K197&gt;=0.80,"Approved",IF(K197&gt;=0.70,"Conditional",IF(K197&gt;=0.60,"Improvement Required","Replacement Candidate")))))</x:f>
      </x:c>
    </x:row>
    <x:row r="198">
      <x:c r="C198" s="42"/>
      <x:c r="D198" s="44"/>
      <x:c r="E198" s="44"/>
      <x:c r="F198" s="44"/>
      <x:c r="G198" s="44"/>
      <x:c r="I198" s="44"/>
      <x:c r="J198" s="44"/>
      <x:c r="K198" s="44" t="str">
        <x:f>IF(COUNTA(D198:J198)=0,"",D198*0.25+E198*0.10+F198*0.20+G198*0.10+(H198/5)*0.10+I198*0.15+(1-J198)*0.10)</x:f>
      </x:c>
      <x:c r="L198" t="str">
        <x:f>IF(K198="","",IF(K198&gt;=0.90,"Preferred",IF(K198&gt;=0.80,"Approved",IF(K198&gt;=0.70,"Conditional",IF(K198&gt;=0.60,"Improvement Required","Replacement Candidate")))))</x:f>
      </x:c>
    </x:row>
    <x:row r="199">
      <x:c r="C199" s="42"/>
      <x:c r="D199" s="44"/>
      <x:c r="E199" s="44"/>
      <x:c r="F199" s="44"/>
      <x:c r="G199" s="44"/>
      <x:c r="I199" s="44"/>
      <x:c r="J199" s="44"/>
      <x:c r="K199" s="44" t="str">
        <x:f>IF(COUNTA(D199:J199)=0,"",D199*0.25+E199*0.10+F199*0.20+G199*0.10+(H199/5)*0.10+I199*0.15+(1-J199)*0.10)</x:f>
      </x:c>
      <x:c r="L199" t="str">
        <x:f>IF(K199="","",IF(K199&gt;=0.90,"Preferred",IF(K199&gt;=0.80,"Approved",IF(K199&gt;=0.70,"Conditional",IF(K199&gt;=0.60,"Improvement Required","Replacement Candidate")))))</x:f>
      </x:c>
    </x:row>
    <x:row r="200">
      <x:c r="C200" s="42"/>
      <x:c r="D200" s="44"/>
      <x:c r="E200" s="44"/>
      <x:c r="F200" s="44"/>
      <x:c r="G200" s="44"/>
      <x:c r="I200" s="44"/>
      <x:c r="J200" s="44"/>
      <x:c r="K200" s="44" t="str">
        <x:f>IF(COUNTA(D200:J200)=0,"",D200*0.25+E200*0.10+F200*0.20+G200*0.10+(H200/5)*0.10+I200*0.15+(1-J200)*0.10)</x:f>
      </x:c>
      <x:c r="L200" t="str">
        <x:f>IF(K200="","",IF(K200&gt;=0.90,"Preferred",IF(K200&gt;=0.80,"Approved",IF(K200&gt;=0.70,"Conditional",IF(K200&gt;=0.60,"Improvement Required","Replacement Candidate")))))</x:f>
      </x:c>
    </x:row>
    <x:row r="201">
      <x:c r="C201" s="42"/>
      <x:c r="D201" s="44"/>
      <x:c r="E201" s="44"/>
      <x:c r="F201" s="44"/>
      <x:c r="G201" s="44"/>
      <x:c r="I201" s="44"/>
      <x:c r="J201" s="44"/>
      <x:c r="K201" s="44" t="str">
        <x:f>IF(COUNTA(D201:J201)=0,"",D201*0.25+E201*0.10+F201*0.20+G201*0.10+(H201/5)*0.10+I201*0.15+(1-J201)*0.10)</x:f>
      </x:c>
      <x:c r="L201" t="str">
        <x:f>IF(K201="","",IF(K201&gt;=0.90,"Preferred",IF(K201&gt;=0.80,"Approved",IF(K201&gt;=0.70,"Conditional",IF(K201&gt;=0.60,"Improvement Required","Replacement Candidate")))))</x:f>
      </x:c>
    </x:row>
    <x:row r="202">
      <x:c r="C202" s="42"/>
      <x:c r="D202" s="44"/>
      <x:c r="E202" s="44"/>
      <x:c r="F202" s="44"/>
      <x:c r="G202" s="44"/>
      <x:c r="I202" s="44"/>
      <x:c r="J202" s="44"/>
      <x:c r="K202" s="44" t="str">
        <x:f>IF(COUNTA(D202:J202)=0,"",D202*0.25+E202*0.10+F202*0.20+G202*0.10+(H202/5)*0.10+I202*0.15+(1-J202)*0.10)</x:f>
      </x:c>
      <x:c r="L202" t="str">
        <x:f>IF(K202="","",IF(K202&gt;=0.90,"Preferred",IF(K202&gt;=0.80,"Approved",IF(K202&gt;=0.70,"Conditional",IF(K202&gt;=0.60,"Improvement Required","Replacement Candidate")))))</x:f>
      </x:c>
    </x:row>
    <x:row r="203">
      <x:c r="C203" s="42"/>
      <x:c r="D203" s="44"/>
      <x:c r="E203" s="44"/>
      <x:c r="F203" s="44"/>
      <x:c r="G203" s="44"/>
      <x:c r="I203" s="44"/>
      <x:c r="J203" s="44"/>
      <x:c r="K203" s="44" t="str">
        <x:f>IF(COUNTA(D203:J203)=0,"",D203*0.25+E203*0.10+F203*0.20+G203*0.10+(H203/5)*0.10+I203*0.15+(1-J203)*0.10)</x:f>
      </x:c>
      <x:c r="L203" t="str">
        <x:f>IF(K203="","",IF(K203&gt;=0.90,"Preferred",IF(K203&gt;=0.80,"Approved",IF(K203&gt;=0.70,"Conditional",IF(K203&gt;=0.60,"Improvement Required","Replacement Candidate")))))</x:f>
      </x:c>
    </x:row>
    <x:row r="204">
      <x:c r="C204" s="42"/>
      <x:c r="D204" s="44"/>
      <x:c r="E204" s="44"/>
      <x:c r="F204" s="44"/>
      <x:c r="G204" s="44"/>
      <x:c r="I204" s="44"/>
      <x:c r="J204" s="44"/>
      <x:c r="K204" s="44" t="str">
        <x:f>IF(COUNTA(D204:J204)=0,"",D204*0.25+E204*0.10+F204*0.20+G204*0.10+(H204/5)*0.10+I204*0.15+(1-J204)*0.10)</x:f>
      </x:c>
      <x:c r="L204" t="str">
        <x:f>IF(K204="","",IF(K204&gt;=0.90,"Preferred",IF(K204&gt;=0.80,"Approved",IF(K204&gt;=0.70,"Conditional",IF(K204&gt;=0.60,"Improvement Required","Replacement Candidate")))))</x:f>
      </x:c>
    </x:row>
    <x:row r="205">
      <x:c r="C205" s="42"/>
      <x:c r="D205" s="44"/>
      <x:c r="E205" s="44"/>
      <x:c r="F205" s="44"/>
      <x:c r="G205" s="44"/>
      <x:c r="I205" s="44"/>
      <x:c r="J205" s="44"/>
      <x:c r="K205" s="44" t="str">
        <x:f>IF(COUNTA(D205:J205)=0,"",D205*0.25+E205*0.10+F205*0.20+G205*0.10+(H205/5)*0.10+I205*0.15+(1-J205)*0.10)</x:f>
      </x:c>
      <x:c r="L205" t="str">
        <x:f>IF(K205="","",IF(K205&gt;=0.90,"Preferred",IF(K205&gt;=0.80,"Approved",IF(K205&gt;=0.70,"Conditional",IF(K205&gt;=0.60,"Improvement Required","Replacement Candidate")))))</x:f>
      </x:c>
    </x:row>
    <x:row r="206">
      <x:c r="C206" s="42"/>
      <x:c r="D206" s="44"/>
      <x:c r="E206" s="44"/>
      <x:c r="F206" s="44"/>
      <x:c r="G206" s="44"/>
      <x:c r="I206" s="44"/>
      <x:c r="J206" s="44"/>
      <x:c r="K206" s="44" t="str">
        <x:f>IF(COUNTA(D206:J206)=0,"",D206*0.25+E206*0.10+F206*0.20+G206*0.10+(H206/5)*0.10+I206*0.15+(1-J206)*0.10)</x:f>
      </x:c>
      <x:c r="L206" t="str">
        <x:f>IF(K206="","",IF(K206&gt;=0.90,"Preferred",IF(K206&gt;=0.80,"Approved",IF(K206&gt;=0.70,"Conditional",IF(K206&gt;=0.60,"Improvement Required","Replacement Candidate")))))</x:f>
      </x:c>
    </x:row>
    <x:row r="207">
      <x:c r="C207" s="42"/>
      <x:c r="D207" s="44"/>
      <x:c r="E207" s="44"/>
      <x:c r="F207" s="44"/>
      <x:c r="G207" s="44"/>
      <x:c r="I207" s="44"/>
      <x:c r="J207" s="44"/>
      <x:c r="K207" s="44" t="str">
        <x:f>IF(COUNTA(D207:J207)=0,"",D207*0.25+E207*0.10+F207*0.20+G207*0.10+(H207/5)*0.10+I207*0.15+(1-J207)*0.10)</x:f>
      </x:c>
      <x:c r="L207" t="str">
        <x:f>IF(K207="","",IF(K207&gt;=0.90,"Preferred",IF(K207&gt;=0.80,"Approved",IF(K207&gt;=0.70,"Conditional",IF(K207&gt;=0.60,"Improvement Required","Replacement Candidate")))))</x:f>
      </x:c>
    </x:row>
    <x:row r="208">
      <x:c r="C208" s="42"/>
      <x:c r="D208" s="44"/>
      <x:c r="E208" s="44"/>
      <x:c r="F208" s="44"/>
      <x:c r="G208" s="44"/>
      <x:c r="I208" s="44"/>
      <x:c r="J208" s="44"/>
      <x:c r="K208" s="44" t="str">
        <x:f>IF(COUNTA(D208:J208)=0,"",D208*0.25+E208*0.10+F208*0.20+G208*0.10+(H208/5)*0.10+I208*0.15+(1-J208)*0.10)</x:f>
      </x:c>
      <x:c r="L208" t="str">
        <x:f>IF(K208="","",IF(K208&gt;=0.90,"Preferred",IF(K208&gt;=0.80,"Approved",IF(K208&gt;=0.70,"Conditional",IF(K208&gt;=0.60,"Improvement Required","Replacement Candidate")))))</x:f>
      </x:c>
    </x:row>
    <x:row r="209">
      <x:c r="C209" s="42"/>
      <x:c r="D209" s="44"/>
      <x:c r="E209" s="44"/>
      <x:c r="F209" s="44"/>
      <x:c r="G209" s="44"/>
      <x:c r="I209" s="44"/>
      <x:c r="J209" s="44"/>
      <x:c r="K209" s="44" t="str">
        <x:f>IF(COUNTA(D209:J209)=0,"",D209*0.25+E209*0.10+F209*0.20+G209*0.10+(H209/5)*0.10+I209*0.15+(1-J209)*0.10)</x:f>
      </x:c>
      <x:c r="L209" t="str">
        <x:f>IF(K209="","",IF(K209&gt;=0.90,"Preferred",IF(K209&gt;=0.80,"Approved",IF(K209&gt;=0.70,"Conditional",IF(K209&gt;=0.60,"Improvement Required","Replacement Candidate")))))</x:f>
      </x:c>
    </x:row>
    <x:row r="210">
      <x:c r="C210" s="42"/>
      <x:c r="D210" s="44"/>
      <x:c r="E210" s="44"/>
      <x:c r="F210" s="44"/>
      <x:c r="G210" s="44"/>
      <x:c r="I210" s="44"/>
      <x:c r="J210" s="44"/>
      <x:c r="K210" s="44" t="str">
        <x:f>IF(COUNTA(D210:J210)=0,"",D210*0.25+E210*0.10+F210*0.20+G210*0.10+(H210/5)*0.10+I210*0.15+(1-J210)*0.10)</x:f>
      </x:c>
      <x:c r="L210" t="str">
        <x:f>IF(K210="","",IF(K210&gt;=0.90,"Preferred",IF(K210&gt;=0.80,"Approved",IF(K210&gt;=0.70,"Conditional",IF(K210&gt;=0.60,"Improvement Required","Replacement Candidate")))))</x:f>
      </x:c>
    </x:row>
    <x:row r="211">
      <x:c r="C211" s="42"/>
      <x:c r="D211" s="44"/>
      <x:c r="E211" s="44"/>
      <x:c r="F211" s="44"/>
      <x:c r="G211" s="44"/>
      <x:c r="I211" s="44"/>
      <x:c r="J211" s="44"/>
      <x:c r="K211" s="44" t="str">
        <x:f>IF(COUNTA(D211:J211)=0,"",D211*0.25+E211*0.10+F211*0.20+G211*0.10+(H211/5)*0.10+I211*0.15+(1-J211)*0.10)</x:f>
      </x:c>
      <x:c r="L211" t="str">
        <x:f>IF(K211="","",IF(K211&gt;=0.90,"Preferred",IF(K211&gt;=0.80,"Approved",IF(K211&gt;=0.70,"Conditional",IF(K211&gt;=0.60,"Improvement Required","Replacement Candidate")))))</x:f>
      </x:c>
    </x:row>
    <x:row r="212">
      <x:c r="C212" s="42"/>
      <x:c r="D212" s="44"/>
      <x:c r="E212" s="44"/>
      <x:c r="F212" s="44"/>
      <x:c r="G212" s="44"/>
      <x:c r="I212" s="44"/>
      <x:c r="J212" s="44"/>
      <x:c r="K212" s="44" t="str">
        <x:f>IF(COUNTA(D212:J212)=0,"",D212*0.25+E212*0.10+F212*0.20+G212*0.10+(H212/5)*0.10+I212*0.15+(1-J212)*0.10)</x:f>
      </x:c>
      <x:c r="L212" t="str">
        <x:f>IF(K212="","",IF(K212&gt;=0.90,"Preferred",IF(K212&gt;=0.80,"Approved",IF(K212&gt;=0.70,"Conditional",IF(K212&gt;=0.60,"Improvement Required","Replacement Candidate")))))</x:f>
      </x:c>
    </x:row>
    <x:row r="213">
      <x:c r="C213" s="42"/>
      <x:c r="D213" s="44"/>
      <x:c r="E213" s="44"/>
      <x:c r="F213" s="44"/>
      <x:c r="G213" s="44"/>
      <x:c r="I213" s="44"/>
      <x:c r="J213" s="44"/>
      <x:c r="K213" s="44" t="str">
        <x:f>IF(COUNTA(D213:J213)=0,"",D213*0.25+E213*0.10+F213*0.20+G213*0.10+(H213/5)*0.10+I213*0.15+(1-J213)*0.10)</x:f>
      </x:c>
      <x:c r="L213" t="str">
        <x:f>IF(K213="","",IF(K213&gt;=0.90,"Preferred",IF(K213&gt;=0.80,"Approved",IF(K213&gt;=0.70,"Conditional",IF(K213&gt;=0.60,"Improvement Required","Replacement Candidate")))))</x:f>
      </x:c>
    </x:row>
    <x:row r="214">
      <x:c r="C214" s="42"/>
      <x:c r="D214" s="44"/>
      <x:c r="E214" s="44"/>
      <x:c r="F214" s="44"/>
      <x:c r="G214" s="44"/>
      <x:c r="I214" s="44"/>
      <x:c r="J214" s="44"/>
      <x:c r="K214" s="44" t="str">
        <x:f>IF(COUNTA(D214:J214)=0,"",D214*0.25+E214*0.10+F214*0.20+G214*0.10+(H214/5)*0.10+I214*0.15+(1-J214)*0.10)</x:f>
      </x:c>
      <x:c r="L214" t="str">
        <x:f>IF(K214="","",IF(K214&gt;=0.90,"Preferred",IF(K214&gt;=0.80,"Approved",IF(K214&gt;=0.70,"Conditional",IF(K214&gt;=0.60,"Improvement Required","Replacement Candidate")))))</x:f>
      </x:c>
    </x:row>
    <x:row r="215">
      <x:c r="C215" s="42"/>
      <x:c r="D215" s="44"/>
      <x:c r="E215" s="44"/>
      <x:c r="F215" s="44"/>
      <x:c r="G215" s="44"/>
      <x:c r="I215" s="44"/>
      <x:c r="J215" s="44"/>
      <x:c r="K215" s="44" t="str">
        <x:f>IF(COUNTA(D215:J215)=0,"",D215*0.25+E215*0.10+F215*0.20+G215*0.10+(H215/5)*0.10+I215*0.15+(1-J215)*0.10)</x:f>
      </x:c>
      <x:c r="L215" t="str">
        <x:f>IF(K215="","",IF(K215&gt;=0.90,"Preferred",IF(K215&gt;=0.80,"Approved",IF(K215&gt;=0.70,"Conditional",IF(K215&gt;=0.60,"Improvement Required","Replacement Candidate")))))</x:f>
      </x:c>
    </x:row>
    <x:row r="216">
      <x:c r="C216" s="42"/>
      <x:c r="D216" s="44"/>
      <x:c r="E216" s="44"/>
      <x:c r="F216" s="44"/>
      <x:c r="G216" s="44"/>
      <x:c r="I216" s="44"/>
      <x:c r="J216" s="44"/>
      <x:c r="K216" s="44" t="str">
        <x:f>IF(COUNTA(D216:J216)=0,"",D216*0.25+E216*0.10+F216*0.20+G216*0.10+(H216/5)*0.10+I216*0.15+(1-J216)*0.10)</x:f>
      </x:c>
      <x:c r="L216" t="str">
        <x:f>IF(K216="","",IF(K216&gt;=0.90,"Preferred",IF(K216&gt;=0.80,"Approved",IF(K216&gt;=0.70,"Conditional",IF(K216&gt;=0.60,"Improvement Required","Replacement Candidate")))))</x:f>
      </x:c>
    </x:row>
    <x:row r="217">
      <x:c r="C217" s="42"/>
      <x:c r="D217" s="44"/>
      <x:c r="E217" s="44"/>
      <x:c r="F217" s="44"/>
      <x:c r="G217" s="44"/>
      <x:c r="I217" s="44"/>
      <x:c r="J217" s="44"/>
      <x:c r="K217" s="44" t="str">
        <x:f>IF(COUNTA(D217:J217)=0,"",D217*0.25+E217*0.10+F217*0.20+G217*0.10+(H217/5)*0.10+I217*0.15+(1-J217)*0.10)</x:f>
      </x:c>
      <x:c r="L217" t="str">
        <x:f>IF(K217="","",IF(K217&gt;=0.90,"Preferred",IF(K217&gt;=0.80,"Approved",IF(K217&gt;=0.70,"Conditional",IF(K217&gt;=0.60,"Improvement Required","Replacement Candidate")))))</x:f>
      </x:c>
    </x:row>
    <x:row r="218">
      <x:c r="C218" s="42"/>
      <x:c r="D218" s="44"/>
      <x:c r="E218" s="44"/>
      <x:c r="F218" s="44"/>
      <x:c r="G218" s="44"/>
      <x:c r="I218" s="44"/>
      <x:c r="J218" s="44"/>
      <x:c r="K218" s="44" t="str">
        <x:f>IF(COUNTA(D218:J218)=0,"",D218*0.25+E218*0.10+F218*0.20+G218*0.10+(H218/5)*0.10+I218*0.15+(1-J218)*0.10)</x:f>
      </x:c>
      <x:c r="L218" t="str">
        <x:f>IF(K218="","",IF(K218&gt;=0.90,"Preferred",IF(K218&gt;=0.80,"Approved",IF(K218&gt;=0.70,"Conditional",IF(K218&gt;=0.60,"Improvement Required","Replacement Candidate")))))</x:f>
      </x:c>
    </x:row>
    <x:row r="219">
      <x:c r="C219" s="42"/>
      <x:c r="D219" s="44"/>
      <x:c r="E219" s="44"/>
      <x:c r="F219" s="44"/>
      <x:c r="G219" s="44"/>
      <x:c r="I219" s="44"/>
      <x:c r="J219" s="44"/>
      <x:c r="K219" s="44" t="str">
        <x:f>IF(COUNTA(D219:J219)=0,"",D219*0.25+E219*0.10+F219*0.20+G219*0.10+(H219/5)*0.10+I219*0.15+(1-J219)*0.10)</x:f>
      </x:c>
      <x:c r="L219" t="str">
        <x:f>IF(K219="","",IF(K219&gt;=0.90,"Preferred",IF(K219&gt;=0.80,"Approved",IF(K219&gt;=0.70,"Conditional",IF(K219&gt;=0.60,"Improvement Required","Replacement Candidate")))))</x:f>
      </x:c>
    </x:row>
    <x:row r="220">
      <x:c r="C220" s="42"/>
      <x:c r="D220" s="44"/>
      <x:c r="E220" s="44"/>
      <x:c r="F220" s="44"/>
      <x:c r="G220" s="44"/>
      <x:c r="I220" s="44"/>
      <x:c r="J220" s="44"/>
      <x:c r="K220" s="44" t="str">
        <x:f>IF(COUNTA(D220:J220)=0,"",D220*0.25+E220*0.10+F220*0.20+G220*0.10+(H220/5)*0.10+I220*0.15+(1-J220)*0.10)</x:f>
      </x:c>
      <x:c r="L220" t="str">
        <x:f>IF(K220="","",IF(K220&gt;=0.90,"Preferred",IF(K220&gt;=0.80,"Approved",IF(K220&gt;=0.70,"Conditional",IF(K220&gt;=0.60,"Improvement Required","Replacement Candidate")))))</x:f>
      </x:c>
    </x:row>
    <x:row r="221">
      <x:c r="C221" s="42"/>
      <x:c r="D221" s="44"/>
      <x:c r="E221" s="44"/>
      <x:c r="F221" s="44"/>
      <x:c r="G221" s="44"/>
      <x:c r="I221" s="44"/>
      <x:c r="J221" s="44"/>
      <x:c r="K221" s="44" t="str">
        <x:f>IF(COUNTA(D221:J221)=0,"",D221*0.25+E221*0.10+F221*0.20+G221*0.10+(H221/5)*0.10+I221*0.15+(1-J221)*0.10)</x:f>
      </x:c>
      <x:c r="L221" t="str">
        <x:f>IF(K221="","",IF(K221&gt;=0.90,"Preferred",IF(K221&gt;=0.80,"Approved",IF(K221&gt;=0.70,"Conditional",IF(K221&gt;=0.60,"Improvement Required","Replacement Candidate")))))</x:f>
      </x:c>
    </x:row>
    <x:row r="222">
      <x:c r="C222" s="42"/>
      <x:c r="D222" s="44"/>
      <x:c r="E222" s="44"/>
      <x:c r="F222" s="44"/>
      <x:c r="G222" s="44"/>
      <x:c r="I222" s="44"/>
      <x:c r="J222" s="44"/>
      <x:c r="K222" s="44" t="str">
        <x:f>IF(COUNTA(D222:J222)=0,"",D222*0.25+E222*0.10+F222*0.20+G222*0.10+(H222/5)*0.10+I222*0.15+(1-J222)*0.10)</x:f>
      </x:c>
      <x:c r="L222" t="str">
        <x:f>IF(K222="","",IF(K222&gt;=0.90,"Preferred",IF(K222&gt;=0.80,"Approved",IF(K222&gt;=0.70,"Conditional",IF(K222&gt;=0.60,"Improvement Required","Replacement Candidate")))))</x:f>
      </x:c>
    </x:row>
    <x:row r="223">
      <x:c r="C223" s="42"/>
      <x:c r="D223" s="44"/>
      <x:c r="E223" s="44"/>
      <x:c r="F223" s="44"/>
      <x:c r="G223" s="44"/>
      <x:c r="I223" s="44"/>
      <x:c r="J223" s="44"/>
      <x:c r="K223" s="44" t="str">
        <x:f>IF(COUNTA(D223:J223)=0,"",D223*0.25+E223*0.10+F223*0.20+G223*0.10+(H223/5)*0.10+I223*0.15+(1-J223)*0.10)</x:f>
      </x:c>
      <x:c r="L223" t="str">
        <x:f>IF(K223="","",IF(K223&gt;=0.90,"Preferred",IF(K223&gt;=0.80,"Approved",IF(K223&gt;=0.70,"Conditional",IF(K223&gt;=0.60,"Improvement Required","Replacement Candidate")))))</x:f>
      </x:c>
    </x:row>
    <x:row r="224">
      <x:c r="C224" s="42"/>
      <x:c r="D224" s="44"/>
      <x:c r="E224" s="44"/>
      <x:c r="F224" s="44"/>
      <x:c r="G224" s="44"/>
      <x:c r="I224" s="44"/>
      <x:c r="J224" s="44"/>
      <x:c r="K224" s="44" t="str">
        <x:f>IF(COUNTA(D224:J224)=0,"",D224*0.25+E224*0.10+F224*0.20+G224*0.10+(H224/5)*0.10+I224*0.15+(1-J224)*0.10)</x:f>
      </x:c>
      <x:c r="L224" t="str">
        <x:f>IF(K224="","",IF(K224&gt;=0.90,"Preferred",IF(K224&gt;=0.80,"Approved",IF(K224&gt;=0.70,"Conditional",IF(K224&gt;=0.60,"Improvement Required","Replacement Candidate")))))</x:f>
      </x:c>
    </x:row>
    <x:row r="225">
      <x:c r="C225" s="42"/>
      <x:c r="D225" s="44"/>
      <x:c r="E225" s="44"/>
      <x:c r="F225" s="44"/>
      <x:c r="G225" s="44"/>
      <x:c r="I225" s="44"/>
      <x:c r="J225" s="44"/>
      <x:c r="K225" s="44" t="str">
        <x:f>IF(COUNTA(D225:J225)=0,"",D225*0.25+E225*0.10+F225*0.20+G225*0.10+(H225/5)*0.10+I225*0.15+(1-J225)*0.10)</x:f>
      </x:c>
      <x:c r="L225" t="str">
        <x:f>IF(K225="","",IF(K225&gt;=0.90,"Preferred",IF(K225&gt;=0.80,"Approved",IF(K225&gt;=0.70,"Conditional",IF(K225&gt;=0.60,"Improvement Required","Replacement Candidate")))))</x:f>
      </x:c>
    </x:row>
    <x:row r="226">
      <x:c r="C226" s="42"/>
      <x:c r="D226" s="44"/>
      <x:c r="E226" s="44"/>
      <x:c r="F226" s="44"/>
      <x:c r="G226" s="44"/>
      <x:c r="I226" s="44"/>
      <x:c r="J226" s="44"/>
      <x:c r="K226" s="44" t="str">
        <x:f>IF(COUNTA(D226:J226)=0,"",D226*0.25+E226*0.10+F226*0.20+G226*0.10+(H226/5)*0.10+I226*0.15+(1-J226)*0.10)</x:f>
      </x:c>
      <x:c r="L226" t="str">
        <x:f>IF(K226="","",IF(K226&gt;=0.90,"Preferred",IF(K226&gt;=0.80,"Approved",IF(K226&gt;=0.70,"Conditional",IF(K226&gt;=0.60,"Improvement Required","Replacement Candidate")))))</x:f>
      </x:c>
    </x:row>
    <x:row r="227">
      <x:c r="C227" s="42"/>
      <x:c r="D227" s="44"/>
      <x:c r="E227" s="44"/>
      <x:c r="F227" s="44"/>
      <x:c r="G227" s="44"/>
      <x:c r="I227" s="44"/>
      <x:c r="J227" s="44"/>
      <x:c r="K227" s="44" t="str">
        <x:f>IF(COUNTA(D227:J227)=0,"",D227*0.25+E227*0.10+F227*0.20+G227*0.10+(H227/5)*0.10+I227*0.15+(1-J227)*0.10)</x:f>
      </x:c>
      <x:c r="L227" t="str">
        <x:f>IF(K227="","",IF(K227&gt;=0.90,"Preferred",IF(K227&gt;=0.80,"Approved",IF(K227&gt;=0.70,"Conditional",IF(K227&gt;=0.60,"Improvement Required","Replacement Candidate")))))</x:f>
      </x:c>
    </x:row>
    <x:row r="228">
      <x:c r="C228" s="42"/>
      <x:c r="D228" s="44"/>
      <x:c r="E228" s="44"/>
      <x:c r="F228" s="44"/>
      <x:c r="G228" s="44"/>
      <x:c r="I228" s="44"/>
      <x:c r="J228" s="44"/>
      <x:c r="K228" s="44" t="str">
        <x:f>IF(COUNTA(D228:J228)=0,"",D228*0.25+E228*0.10+F228*0.20+G228*0.10+(H228/5)*0.10+I228*0.15+(1-J228)*0.10)</x:f>
      </x:c>
      <x:c r="L228" t="str">
        <x:f>IF(K228="","",IF(K228&gt;=0.90,"Preferred",IF(K228&gt;=0.80,"Approved",IF(K228&gt;=0.70,"Conditional",IF(K228&gt;=0.60,"Improvement Required","Replacement Candidate")))))</x:f>
      </x:c>
    </x:row>
    <x:row r="229">
      <x:c r="C229" s="42"/>
      <x:c r="D229" s="44"/>
      <x:c r="E229" s="44"/>
      <x:c r="F229" s="44"/>
      <x:c r="G229" s="44"/>
      <x:c r="I229" s="44"/>
      <x:c r="J229" s="44"/>
      <x:c r="K229" s="44" t="str">
        <x:f>IF(COUNTA(D229:J229)=0,"",D229*0.25+E229*0.10+F229*0.20+G229*0.10+(H229/5)*0.10+I229*0.15+(1-J229)*0.10)</x:f>
      </x:c>
      <x:c r="L229" t="str">
        <x:f>IF(K229="","",IF(K229&gt;=0.90,"Preferred",IF(K229&gt;=0.80,"Approved",IF(K229&gt;=0.70,"Conditional",IF(K229&gt;=0.60,"Improvement Required","Replacement Candidate")))))</x:f>
      </x:c>
    </x:row>
    <x:row r="230">
      <x:c r="C230" s="42"/>
      <x:c r="D230" s="44"/>
      <x:c r="E230" s="44"/>
      <x:c r="F230" s="44"/>
      <x:c r="G230" s="44"/>
      <x:c r="I230" s="44"/>
      <x:c r="J230" s="44"/>
      <x:c r="K230" s="44" t="str">
        <x:f>IF(COUNTA(D230:J230)=0,"",D230*0.25+E230*0.10+F230*0.20+G230*0.10+(H230/5)*0.10+I230*0.15+(1-J230)*0.10)</x:f>
      </x:c>
      <x:c r="L230" t="str">
        <x:f>IF(K230="","",IF(K230&gt;=0.90,"Preferred",IF(K230&gt;=0.80,"Approved",IF(K230&gt;=0.70,"Conditional",IF(K230&gt;=0.60,"Improvement Required","Replacement Candidate")))))</x:f>
      </x:c>
    </x:row>
    <x:row r="231">
      <x:c r="C231" s="42"/>
      <x:c r="D231" s="44"/>
      <x:c r="E231" s="44"/>
      <x:c r="F231" s="44"/>
      <x:c r="G231" s="44"/>
      <x:c r="I231" s="44"/>
      <x:c r="J231" s="44"/>
      <x:c r="K231" s="44" t="str">
        <x:f>IF(COUNTA(D231:J231)=0,"",D231*0.25+E231*0.10+F231*0.20+G231*0.10+(H231/5)*0.10+I231*0.15+(1-J231)*0.10)</x:f>
      </x:c>
      <x:c r="L231" t="str">
        <x:f>IF(K231="","",IF(K231&gt;=0.90,"Preferred",IF(K231&gt;=0.80,"Approved",IF(K231&gt;=0.70,"Conditional",IF(K231&gt;=0.60,"Improvement Required","Replacement Candidate")))))</x:f>
      </x:c>
    </x:row>
    <x:row r="232">
      <x:c r="C232" s="42"/>
      <x:c r="D232" s="44"/>
      <x:c r="E232" s="44"/>
      <x:c r="F232" s="44"/>
      <x:c r="G232" s="44"/>
      <x:c r="I232" s="44"/>
      <x:c r="J232" s="44"/>
      <x:c r="K232" s="44" t="str">
        <x:f>IF(COUNTA(D232:J232)=0,"",D232*0.25+E232*0.10+F232*0.20+G232*0.10+(H232/5)*0.10+I232*0.15+(1-J232)*0.10)</x:f>
      </x:c>
      <x:c r="L232" t="str">
        <x:f>IF(K232="","",IF(K232&gt;=0.90,"Preferred",IF(K232&gt;=0.80,"Approved",IF(K232&gt;=0.70,"Conditional",IF(K232&gt;=0.60,"Improvement Required","Replacement Candidate")))))</x:f>
      </x:c>
    </x:row>
    <x:row r="233">
      <x:c r="C233" s="42"/>
      <x:c r="D233" s="44"/>
      <x:c r="E233" s="44"/>
      <x:c r="F233" s="44"/>
      <x:c r="G233" s="44"/>
      <x:c r="I233" s="44"/>
      <x:c r="J233" s="44"/>
      <x:c r="K233" s="44" t="str">
        <x:f>IF(COUNTA(D233:J233)=0,"",D233*0.25+E233*0.10+F233*0.20+G233*0.10+(H233/5)*0.10+I233*0.15+(1-J233)*0.10)</x:f>
      </x:c>
      <x:c r="L233" t="str">
        <x:f>IF(K233="","",IF(K233&gt;=0.90,"Preferred",IF(K233&gt;=0.80,"Approved",IF(K233&gt;=0.70,"Conditional",IF(K233&gt;=0.60,"Improvement Required","Replacement Candidate")))))</x:f>
      </x:c>
    </x:row>
    <x:row r="234">
      <x:c r="C234" s="42"/>
      <x:c r="D234" s="44"/>
      <x:c r="E234" s="44"/>
      <x:c r="F234" s="44"/>
      <x:c r="G234" s="44"/>
      <x:c r="I234" s="44"/>
      <x:c r="J234" s="44"/>
      <x:c r="K234" s="44" t="str">
        <x:f>IF(COUNTA(D234:J234)=0,"",D234*0.25+E234*0.10+F234*0.20+G234*0.10+(H234/5)*0.10+I234*0.15+(1-J234)*0.10)</x:f>
      </x:c>
      <x:c r="L234" t="str">
        <x:f>IF(K234="","",IF(K234&gt;=0.90,"Preferred",IF(K234&gt;=0.80,"Approved",IF(K234&gt;=0.70,"Conditional",IF(K234&gt;=0.60,"Improvement Required","Replacement Candidate")))))</x:f>
      </x:c>
    </x:row>
    <x:row r="235">
      <x:c r="C235" s="42"/>
      <x:c r="D235" s="44"/>
      <x:c r="E235" s="44"/>
      <x:c r="F235" s="44"/>
      <x:c r="G235" s="44"/>
      <x:c r="I235" s="44"/>
      <x:c r="J235" s="44"/>
      <x:c r="K235" s="44" t="str">
        <x:f>IF(COUNTA(D235:J235)=0,"",D235*0.25+E235*0.10+F235*0.20+G235*0.10+(H235/5)*0.10+I235*0.15+(1-J235)*0.10)</x:f>
      </x:c>
      <x:c r="L235" t="str">
        <x:f>IF(K235="","",IF(K235&gt;=0.90,"Preferred",IF(K235&gt;=0.80,"Approved",IF(K235&gt;=0.70,"Conditional",IF(K235&gt;=0.60,"Improvement Required","Replacement Candidate")))))</x:f>
      </x:c>
    </x:row>
    <x:row r="236">
      <x:c r="C236" s="42"/>
      <x:c r="D236" s="44"/>
      <x:c r="E236" s="44"/>
      <x:c r="F236" s="44"/>
      <x:c r="G236" s="44"/>
      <x:c r="I236" s="44"/>
      <x:c r="J236" s="44"/>
      <x:c r="K236" s="44" t="str">
        <x:f>IF(COUNTA(D236:J236)=0,"",D236*0.25+E236*0.10+F236*0.20+G236*0.10+(H236/5)*0.10+I236*0.15+(1-J236)*0.10)</x:f>
      </x:c>
      <x:c r="L236" t="str">
        <x:f>IF(K236="","",IF(K236&gt;=0.90,"Preferred",IF(K236&gt;=0.80,"Approved",IF(K236&gt;=0.70,"Conditional",IF(K236&gt;=0.60,"Improvement Required","Replacement Candidate")))))</x:f>
      </x:c>
    </x:row>
    <x:row r="237">
      <x:c r="C237" s="42"/>
      <x:c r="D237" s="44"/>
      <x:c r="E237" s="44"/>
      <x:c r="F237" s="44"/>
      <x:c r="G237" s="44"/>
      <x:c r="I237" s="44"/>
      <x:c r="J237" s="44"/>
      <x:c r="K237" s="44" t="str">
        <x:f>IF(COUNTA(D237:J237)=0,"",D237*0.25+E237*0.10+F237*0.20+G237*0.10+(H237/5)*0.10+I237*0.15+(1-J237)*0.10)</x:f>
      </x:c>
      <x:c r="L237" t="str">
        <x:f>IF(K237="","",IF(K237&gt;=0.90,"Preferred",IF(K237&gt;=0.80,"Approved",IF(K237&gt;=0.70,"Conditional",IF(K237&gt;=0.60,"Improvement Required","Replacement Candidate")))))</x:f>
      </x:c>
    </x:row>
    <x:row r="238">
      <x:c r="C238" s="42"/>
      <x:c r="D238" s="44"/>
      <x:c r="E238" s="44"/>
      <x:c r="F238" s="44"/>
      <x:c r="G238" s="44"/>
      <x:c r="I238" s="44"/>
      <x:c r="J238" s="44"/>
      <x:c r="K238" s="44" t="str">
        <x:f>IF(COUNTA(D238:J238)=0,"",D238*0.25+E238*0.10+F238*0.20+G238*0.10+(H238/5)*0.10+I238*0.15+(1-J238)*0.10)</x:f>
      </x:c>
      <x:c r="L238" t="str">
        <x:f>IF(K238="","",IF(K238&gt;=0.90,"Preferred",IF(K238&gt;=0.80,"Approved",IF(K238&gt;=0.70,"Conditional",IF(K238&gt;=0.60,"Improvement Required","Replacement Candidate")))))</x:f>
      </x:c>
    </x:row>
    <x:row r="239">
      <x:c r="C239" s="42"/>
      <x:c r="D239" s="44"/>
      <x:c r="E239" s="44"/>
      <x:c r="F239" s="44"/>
      <x:c r="G239" s="44"/>
      <x:c r="I239" s="44"/>
      <x:c r="J239" s="44"/>
      <x:c r="K239" s="44" t="str">
        <x:f>IF(COUNTA(D239:J239)=0,"",D239*0.25+E239*0.10+F239*0.20+G239*0.10+(H239/5)*0.10+I239*0.15+(1-J239)*0.10)</x:f>
      </x:c>
      <x:c r="L239" t="str">
        <x:f>IF(K239="","",IF(K239&gt;=0.90,"Preferred",IF(K239&gt;=0.80,"Approved",IF(K239&gt;=0.70,"Conditional",IF(K239&gt;=0.60,"Improvement Required","Replacement Candidate")))))</x:f>
      </x:c>
    </x:row>
    <x:row r="240">
      <x:c r="C240" s="42"/>
      <x:c r="D240" s="44"/>
      <x:c r="E240" s="44"/>
      <x:c r="F240" s="44"/>
      <x:c r="G240" s="44"/>
      <x:c r="I240" s="44"/>
      <x:c r="J240" s="44"/>
      <x:c r="K240" s="44" t="str">
        <x:f>IF(COUNTA(D240:J240)=0,"",D240*0.25+E240*0.10+F240*0.20+G240*0.10+(H240/5)*0.10+I240*0.15+(1-J240)*0.10)</x:f>
      </x:c>
      <x:c r="L240" t="str">
        <x:f>IF(K240="","",IF(K240&gt;=0.90,"Preferred",IF(K240&gt;=0.80,"Approved",IF(K240&gt;=0.70,"Conditional",IF(K240&gt;=0.60,"Improvement Required","Replacement Candidate")))))</x:f>
      </x:c>
    </x:row>
    <x:row r="241">
      <x:c r="C241" s="42"/>
      <x:c r="D241" s="44"/>
      <x:c r="E241" s="44"/>
      <x:c r="F241" s="44"/>
      <x:c r="G241" s="44"/>
      <x:c r="I241" s="44"/>
      <x:c r="J241" s="44"/>
      <x:c r="K241" s="44" t="str">
        <x:f>IF(COUNTA(D241:J241)=0,"",D241*0.25+E241*0.10+F241*0.20+G241*0.10+(H241/5)*0.10+I241*0.15+(1-J241)*0.10)</x:f>
      </x:c>
      <x:c r="L241" t="str">
        <x:f>IF(K241="","",IF(K241&gt;=0.90,"Preferred",IF(K241&gt;=0.80,"Approved",IF(K241&gt;=0.70,"Conditional",IF(K241&gt;=0.60,"Improvement Required","Replacement Candidate")))))</x:f>
      </x:c>
    </x:row>
    <x:row r="242">
      <x:c r="C242" s="42"/>
      <x:c r="D242" s="44"/>
      <x:c r="E242" s="44"/>
      <x:c r="F242" s="44"/>
      <x:c r="G242" s="44"/>
      <x:c r="I242" s="44"/>
      <x:c r="J242" s="44"/>
      <x:c r="K242" s="44" t="str">
        <x:f>IF(COUNTA(D242:J242)=0,"",D242*0.25+E242*0.10+F242*0.20+G242*0.10+(H242/5)*0.10+I242*0.15+(1-J242)*0.10)</x:f>
      </x:c>
      <x:c r="L242" t="str">
        <x:f>IF(K242="","",IF(K242&gt;=0.90,"Preferred",IF(K242&gt;=0.80,"Approved",IF(K242&gt;=0.70,"Conditional",IF(K242&gt;=0.60,"Improvement Required","Replacement Candidate")))))</x:f>
      </x:c>
    </x:row>
    <x:row r="243">
      <x:c r="C243" s="42"/>
      <x:c r="D243" s="44"/>
      <x:c r="E243" s="44"/>
      <x:c r="F243" s="44"/>
      <x:c r="G243" s="44"/>
      <x:c r="I243" s="44"/>
      <x:c r="J243" s="44"/>
      <x:c r="K243" s="44" t="str">
        <x:f>IF(COUNTA(D243:J243)=0,"",D243*0.25+E243*0.10+F243*0.20+G243*0.10+(H243/5)*0.10+I243*0.15+(1-J243)*0.10)</x:f>
      </x:c>
      <x:c r="L243" t="str">
        <x:f>IF(K243="","",IF(K243&gt;=0.90,"Preferred",IF(K243&gt;=0.80,"Approved",IF(K243&gt;=0.70,"Conditional",IF(K243&gt;=0.60,"Improvement Required","Replacement Candidate")))))</x:f>
      </x:c>
    </x:row>
    <x:row r="244">
      <x:c r="C244" s="42"/>
      <x:c r="D244" s="44"/>
      <x:c r="E244" s="44"/>
      <x:c r="F244" s="44"/>
      <x:c r="G244" s="44"/>
      <x:c r="I244" s="44"/>
      <x:c r="J244" s="44"/>
      <x:c r="K244" s="44" t="str">
        <x:f>IF(COUNTA(D244:J244)=0,"",D244*0.25+E244*0.10+F244*0.20+G244*0.10+(H244/5)*0.10+I244*0.15+(1-J244)*0.10)</x:f>
      </x:c>
      <x:c r="L244" t="str">
        <x:f>IF(K244="","",IF(K244&gt;=0.90,"Preferred",IF(K244&gt;=0.80,"Approved",IF(K244&gt;=0.70,"Conditional",IF(K244&gt;=0.60,"Improvement Required","Replacement Candidate")))))</x:f>
      </x:c>
    </x:row>
    <x:row r="245">
      <x:c r="C245" s="42"/>
      <x:c r="D245" s="44"/>
      <x:c r="E245" s="44"/>
      <x:c r="F245" s="44"/>
      <x:c r="G245" s="44"/>
      <x:c r="I245" s="44"/>
      <x:c r="J245" s="44"/>
      <x:c r="K245" s="44" t="str">
        <x:f>IF(COUNTA(D245:J245)=0,"",D245*0.25+E245*0.10+F245*0.20+G245*0.10+(H245/5)*0.10+I245*0.15+(1-J245)*0.10)</x:f>
      </x:c>
      <x:c r="L245" t="str">
        <x:f>IF(K245="","",IF(K245&gt;=0.90,"Preferred",IF(K245&gt;=0.80,"Approved",IF(K245&gt;=0.70,"Conditional",IF(K245&gt;=0.60,"Improvement Required","Replacement Candidate")))))</x:f>
      </x:c>
    </x:row>
    <x:row r="246">
      <x:c r="C246" s="42"/>
      <x:c r="D246" s="44"/>
      <x:c r="E246" s="44"/>
      <x:c r="F246" s="44"/>
      <x:c r="G246" s="44"/>
      <x:c r="I246" s="44"/>
      <x:c r="J246" s="44"/>
      <x:c r="K246" s="44" t="str">
        <x:f>IF(COUNTA(D246:J246)=0,"",D246*0.25+E246*0.10+F246*0.20+G246*0.10+(H246/5)*0.10+I246*0.15+(1-J246)*0.10)</x:f>
      </x:c>
      <x:c r="L246" t="str">
        <x:f>IF(K246="","",IF(K246&gt;=0.90,"Preferred",IF(K246&gt;=0.80,"Approved",IF(K246&gt;=0.70,"Conditional",IF(K246&gt;=0.60,"Improvement Required","Replacement Candidate")))))</x:f>
      </x:c>
    </x:row>
    <x:row r="247">
      <x:c r="C247" s="42"/>
      <x:c r="D247" s="44"/>
      <x:c r="E247" s="44"/>
      <x:c r="F247" s="44"/>
      <x:c r="G247" s="44"/>
      <x:c r="I247" s="44"/>
      <x:c r="J247" s="44"/>
      <x:c r="K247" s="44" t="str">
        <x:f>IF(COUNTA(D247:J247)=0,"",D247*0.25+E247*0.10+F247*0.20+G247*0.10+(H247/5)*0.10+I247*0.15+(1-J247)*0.10)</x:f>
      </x:c>
      <x:c r="L247" t="str">
        <x:f>IF(K247="","",IF(K247&gt;=0.90,"Preferred",IF(K247&gt;=0.80,"Approved",IF(K247&gt;=0.70,"Conditional",IF(K247&gt;=0.60,"Improvement Required","Replacement Candidate")))))</x:f>
      </x:c>
    </x:row>
    <x:row r="248">
      <x:c r="C248" s="42"/>
      <x:c r="D248" s="44"/>
      <x:c r="E248" s="44"/>
      <x:c r="F248" s="44"/>
      <x:c r="G248" s="44"/>
      <x:c r="I248" s="44"/>
      <x:c r="J248" s="44"/>
      <x:c r="K248" s="44" t="str">
        <x:f>IF(COUNTA(D248:J248)=0,"",D248*0.25+E248*0.10+F248*0.20+G248*0.10+(H248/5)*0.10+I248*0.15+(1-J248)*0.10)</x:f>
      </x:c>
      <x:c r="L248" t="str">
        <x:f>IF(K248="","",IF(K248&gt;=0.90,"Preferred",IF(K248&gt;=0.80,"Approved",IF(K248&gt;=0.70,"Conditional",IF(K248&gt;=0.60,"Improvement Required","Replacement Candidate")))))</x:f>
      </x:c>
    </x:row>
    <x:row r="249">
      <x:c r="C249" s="42"/>
      <x:c r="D249" s="44"/>
      <x:c r="E249" s="44"/>
      <x:c r="F249" s="44"/>
      <x:c r="G249" s="44"/>
      <x:c r="I249" s="44"/>
      <x:c r="J249" s="44"/>
      <x:c r="K249" s="44" t="str">
        <x:f>IF(COUNTA(D249:J249)=0,"",D249*0.25+E249*0.10+F249*0.20+G249*0.10+(H249/5)*0.10+I249*0.15+(1-J249)*0.10)</x:f>
      </x:c>
      <x:c r="L249" t="str">
        <x:f>IF(K249="","",IF(K249&gt;=0.90,"Preferred",IF(K249&gt;=0.80,"Approved",IF(K249&gt;=0.70,"Conditional",IF(K249&gt;=0.60,"Improvement Required","Replacement Candidate")))))</x:f>
      </x:c>
    </x:row>
    <x:row r="250">
      <x:c r="C250" s="42"/>
      <x:c r="D250" s="44"/>
      <x:c r="E250" s="44"/>
      <x:c r="F250" s="44"/>
      <x:c r="G250" s="44"/>
      <x:c r="I250" s="44"/>
      <x:c r="J250" s="44"/>
      <x:c r="K250" s="44" t="str">
        <x:f>IF(COUNTA(D250:J250)=0,"",D250*0.25+E250*0.10+F250*0.20+G250*0.10+(H250/5)*0.10+I250*0.15+(1-J250)*0.10)</x:f>
      </x:c>
      <x:c r="L250" t="str">
        <x:f>IF(K250="","",IF(K250&gt;=0.90,"Preferred",IF(K250&gt;=0.80,"Approved",IF(K250&gt;=0.70,"Conditional",IF(K250&gt;=0.60,"Improvement Required","Replacement Candidate")))))</x:f>
      </x:c>
    </x:row>
    <x:row r="251">
      <x:c r="C251" s="42"/>
      <x:c r="D251" s="44"/>
      <x:c r="E251" s="44"/>
      <x:c r="F251" s="44"/>
      <x:c r="G251" s="44"/>
      <x:c r="I251" s="44"/>
      <x:c r="J251" s="44"/>
      <x:c r="K251" s="44" t="str">
        <x:f>IF(COUNTA(D251:J251)=0,"",D251*0.25+E251*0.10+F251*0.20+G251*0.10+(H251/5)*0.10+I251*0.15+(1-J251)*0.10)</x:f>
      </x:c>
      <x:c r="L251" t="str">
        <x:f>IF(K251="","",IF(K251&gt;=0.90,"Preferred",IF(K251&gt;=0.80,"Approved",IF(K251&gt;=0.70,"Conditional",IF(K251&gt;=0.60,"Improvement Required","Replacement Candidate")))))</x:f>
      </x:c>
    </x:row>
    <x:row r="252">
      <x:c r="C252" s="42"/>
      <x:c r="D252" s="44"/>
      <x:c r="E252" s="44"/>
      <x:c r="F252" s="44"/>
      <x:c r="G252" s="44"/>
      <x:c r="I252" s="44"/>
      <x:c r="J252" s="44"/>
      <x:c r="K252" s="44" t="str">
        <x:f>IF(COUNTA(D252:J252)=0,"",D252*0.25+E252*0.10+F252*0.20+G252*0.10+(H252/5)*0.10+I252*0.15+(1-J252)*0.10)</x:f>
      </x:c>
      <x:c r="L252" t="str">
        <x:f>IF(K252="","",IF(K252&gt;=0.90,"Preferred",IF(K252&gt;=0.80,"Approved",IF(K252&gt;=0.70,"Conditional",IF(K252&gt;=0.60,"Improvement Required","Replacement Candidate")))))</x:f>
      </x:c>
    </x:row>
    <x:row r="253">
      <x:c r="C253" s="42"/>
      <x:c r="D253" s="44"/>
      <x:c r="E253" s="44"/>
      <x:c r="F253" s="44"/>
      <x:c r="G253" s="44"/>
      <x:c r="I253" s="44"/>
      <x:c r="J253" s="44"/>
      <x:c r="K253" s="44" t="str">
        <x:f>IF(COUNTA(D253:J253)=0,"",D253*0.25+E253*0.10+F253*0.20+G253*0.10+(H253/5)*0.10+I253*0.15+(1-J253)*0.10)</x:f>
      </x:c>
      <x:c r="L253" t="str">
        <x:f>IF(K253="","",IF(K253&gt;=0.90,"Preferred",IF(K253&gt;=0.80,"Approved",IF(K253&gt;=0.70,"Conditional",IF(K253&gt;=0.60,"Improvement Required","Replacement Candidate")))))</x:f>
      </x:c>
    </x:row>
    <x:row r="254">
      <x:c r="C254" s="42"/>
      <x:c r="D254" s="44"/>
      <x:c r="E254" s="44"/>
      <x:c r="F254" s="44"/>
      <x:c r="G254" s="44"/>
      <x:c r="I254" s="44"/>
      <x:c r="J254" s="44"/>
      <x:c r="K254" s="44" t="str">
        <x:f>IF(COUNTA(D254:J254)=0,"",D254*0.25+E254*0.10+F254*0.20+G254*0.10+(H254/5)*0.10+I254*0.15+(1-J254)*0.10)</x:f>
      </x:c>
      <x:c r="L254" t="str">
        <x:f>IF(K254="","",IF(K254&gt;=0.90,"Preferred",IF(K254&gt;=0.80,"Approved",IF(K254&gt;=0.70,"Conditional",IF(K254&gt;=0.60,"Improvement Required","Replacement Candidate")))))</x:f>
      </x:c>
    </x:row>
    <x:row r="255">
      <x:c r="C255" s="42"/>
      <x:c r="D255" s="44"/>
      <x:c r="E255" s="44"/>
      <x:c r="F255" s="44"/>
      <x:c r="G255" s="44"/>
      <x:c r="I255" s="44"/>
      <x:c r="J255" s="44"/>
      <x:c r="K255" s="44" t="str">
        <x:f>IF(COUNTA(D255:J255)=0,"",D255*0.25+E255*0.10+F255*0.20+G255*0.10+(H255/5)*0.10+I255*0.15+(1-J255)*0.10)</x:f>
      </x:c>
      <x:c r="L255" t="str">
        <x:f>IF(K255="","",IF(K255&gt;=0.90,"Preferred",IF(K255&gt;=0.80,"Approved",IF(K255&gt;=0.70,"Conditional",IF(K255&gt;=0.60,"Improvement Required","Replacement Candidate")))))</x:f>
      </x:c>
    </x:row>
    <x:row r="256">
      <x:c r="C256" s="42"/>
      <x:c r="D256" s="44"/>
      <x:c r="E256" s="44"/>
      <x:c r="F256" s="44"/>
      <x:c r="G256" s="44"/>
      <x:c r="I256" s="44"/>
      <x:c r="J256" s="44"/>
      <x:c r="K256" s="44" t="str">
        <x:f>IF(COUNTA(D256:J256)=0,"",D256*0.25+E256*0.10+F256*0.20+G256*0.10+(H256/5)*0.10+I256*0.15+(1-J256)*0.10)</x:f>
      </x:c>
      <x:c r="L256" t="str">
        <x:f>IF(K256="","",IF(K256&gt;=0.90,"Preferred",IF(K256&gt;=0.80,"Approved",IF(K256&gt;=0.70,"Conditional",IF(K256&gt;=0.60,"Improvement Required","Replacement Candidate")))))</x:f>
      </x:c>
    </x:row>
    <x:row r="257">
      <x:c r="C257" s="42"/>
      <x:c r="D257" s="44"/>
      <x:c r="E257" s="44"/>
      <x:c r="F257" s="44"/>
      <x:c r="G257" s="44"/>
      <x:c r="I257" s="44"/>
      <x:c r="J257" s="44"/>
      <x:c r="K257" s="44" t="str">
        <x:f>IF(COUNTA(D257:J257)=0,"",D257*0.25+E257*0.10+F257*0.20+G257*0.10+(H257/5)*0.10+I257*0.15+(1-J257)*0.10)</x:f>
      </x:c>
      <x:c r="L257" t="str">
        <x:f>IF(K257="","",IF(K257&gt;=0.90,"Preferred",IF(K257&gt;=0.80,"Approved",IF(K257&gt;=0.70,"Conditional",IF(K257&gt;=0.60,"Improvement Required","Replacement Candidate")))))</x:f>
      </x:c>
    </x:row>
    <x:row r="258">
      <x:c r="C258" s="42"/>
      <x:c r="D258" s="44"/>
      <x:c r="E258" s="44"/>
      <x:c r="F258" s="44"/>
      <x:c r="G258" s="44"/>
      <x:c r="I258" s="44"/>
      <x:c r="J258" s="44"/>
      <x:c r="K258" s="44" t="str">
        <x:f>IF(COUNTA(D258:J258)=0,"",D258*0.25+E258*0.10+F258*0.20+G258*0.10+(H258/5)*0.10+I258*0.15+(1-J258)*0.10)</x:f>
      </x:c>
      <x:c r="L258" t="str">
        <x:f>IF(K258="","",IF(K258&gt;=0.90,"Preferred",IF(K258&gt;=0.80,"Approved",IF(K258&gt;=0.70,"Conditional",IF(K258&gt;=0.60,"Improvement Required","Replacement Candidate")))))</x:f>
      </x:c>
    </x:row>
    <x:row r="259">
      <x:c r="C259" s="42"/>
      <x:c r="D259" s="44"/>
      <x:c r="E259" s="44"/>
      <x:c r="F259" s="44"/>
      <x:c r="G259" s="44"/>
      <x:c r="I259" s="44"/>
      <x:c r="J259" s="44"/>
      <x:c r="K259" s="44" t="str">
        <x:f>IF(COUNTA(D259:J259)=0,"",D259*0.25+E259*0.10+F259*0.20+G259*0.10+(H259/5)*0.10+I259*0.15+(1-J259)*0.10)</x:f>
      </x:c>
      <x:c r="L259" t="str">
        <x:f>IF(K259="","",IF(K259&gt;=0.90,"Preferred",IF(K259&gt;=0.80,"Approved",IF(K259&gt;=0.70,"Conditional",IF(K259&gt;=0.60,"Improvement Required","Replacement Candidate")))))</x:f>
      </x:c>
    </x:row>
    <x:row r="260">
      <x:c r="C260" s="42"/>
      <x:c r="D260" s="44"/>
      <x:c r="E260" s="44"/>
      <x:c r="F260" s="44"/>
      <x:c r="G260" s="44"/>
      <x:c r="I260" s="44"/>
      <x:c r="J260" s="44"/>
      <x:c r="K260" s="44" t="str">
        <x:f>IF(COUNTA(D260:J260)=0,"",D260*0.25+E260*0.10+F260*0.20+G260*0.10+(H260/5)*0.10+I260*0.15+(1-J260)*0.10)</x:f>
      </x:c>
      <x:c r="L260" t="str">
        <x:f>IF(K260="","",IF(K260&gt;=0.90,"Preferred",IF(K260&gt;=0.80,"Approved",IF(K260&gt;=0.70,"Conditional",IF(K260&gt;=0.60,"Improvement Required","Replacement Candidate")))))</x:f>
      </x:c>
    </x:row>
    <x:row r="261">
      <x:c r="C261" s="42"/>
      <x:c r="D261" s="44"/>
      <x:c r="E261" s="44"/>
      <x:c r="F261" s="44"/>
      <x:c r="G261" s="44"/>
      <x:c r="I261" s="44"/>
      <x:c r="J261" s="44"/>
      <x:c r="K261" s="44" t="str">
        <x:f>IF(COUNTA(D261:J261)=0,"",D261*0.25+E261*0.10+F261*0.20+G261*0.10+(H261/5)*0.10+I261*0.15+(1-J261)*0.10)</x:f>
      </x:c>
      <x:c r="L261" t="str">
        <x:f>IF(K261="","",IF(K261&gt;=0.90,"Preferred",IF(K261&gt;=0.80,"Approved",IF(K261&gt;=0.70,"Conditional",IF(K261&gt;=0.60,"Improvement Required","Replacement Candidate")))))</x:f>
      </x:c>
    </x:row>
    <x:row r="262">
      <x:c r="C262" s="42"/>
      <x:c r="D262" s="44"/>
      <x:c r="E262" s="44"/>
      <x:c r="F262" s="44"/>
      <x:c r="G262" s="44"/>
      <x:c r="I262" s="44"/>
      <x:c r="J262" s="44"/>
      <x:c r="K262" s="44" t="str">
        <x:f>IF(COUNTA(D262:J262)=0,"",D262*0.25+E262*0.10+F262*0.20+G262*0.10+(H262/5)*0.10+I262*0.15+(1-J262)*0.10)</x:f>
      </x:c>
      <x:c r="L262" t="str">
        <x:f>IF(K262="","",IF(K262&gt;=0.90,"Preferred",IF(K262&gt;=0.80,"Approved",IF(K262&gt;=0.70,"Conditional",IF(K262&gt;=0.60,"Improvement Required","Replacement Candidate")))))</x:f>
      </x:c>
    </x:row>
    <x:row r="263">
      <x:c r="C263" s="42"/>
      <x:c r="D263" s="44"/>
      <x:c r="E263" s="44"/>
      <x:c r="F263" s="44"/>
      <x:c r="G263" s="44"/>
      <x:c r="I263" s="44"/>
      <x:c r="J263" s="44"/>
      <x:c r="K263" s="44" t="str">
        <x:f>IF(COUNTA(D263:J263)=0,"",D263*0.25+E263*0.10+F263*0.20+G263*0.10+(H263/5)*0.10+I263*0.15+(1-J263)*0.10)</x:f>
      </x:c>
      <x:c r="L263" t="str">
        <x:f>IF(K263="","",IF(K263&gt;=0.90,"Preferred",IF(K263&gt;=0.80,"Approved",IF(K263&gt;=0.70,"Conditional",IF(K263&gt;=0.60,"Improvement Required","Replacement Candidate")))))</x:f>
      </x:c>
    </x:row>
    <x:row r="264">
      <x:c r="C264" s="42"/>
      <x:c r="D264" s="44"/>
      <x:c r="E264" s="44"/>
      <x:c r="F264" s="44"/>
      <x:c r="G264" s="44"/>
      <x:c r="I264" s="44"/>
      <x:c r="J264" s="44"/>
      <x:c r="K264" s="44" t="str">
        <x:f>IF(COUNTA(D264:J264)=0,"",D264*0.25+E264*0.10+F264*0.20+G264*0.10+(H264/5)*0.10+I264*0.15+(1-J264)*0.10)</x:f>
      </x:c>
      <x:c r="L264" t="str">
        <x:f>IF(K264="","",IF(K264&gt;=0.90,"Preferred",IF(K264&gt;=0.80,"Approved",IF(K264&gt;=0.70,"Conditional",IF(K264&gt;=0.60,"Improvement Required","Replacement Candidate")))))</x:f>
      </x:c>
    </x:row>
    <x:row r="265">
      <x:c r="C265" s="42"/>
      <x:c r="D265" s="44"/>
      <x:c r="E265" s="44"/>
      <x:c r="F265" s="44"/>
      <x:c r="G265" s="44"/>
      <x:c r="I265" s="44"/>
      <x:c r="J265" s="44"/>
      <x:c r="K265" s="44" t="str">
        <x:f>IF(COUNTA(D265:J265)=0,"",D265*0.25+E265*0.10+F265*0.20+G265*0.10+(H265/5)*0.10+I265*0.15+(1-J265)*0.10)</x:f>
      </x:c>
      <x:c r="L265" t="str">
        <x:f>IF(K265="","",IF(K265&gt;=0.90,"Preferred",IF(K265&gt;=0.80,"Approved",IF(K265&gt;=0.70,"Conditional",IF(K265&gt;=0.60,"Improvement Required","Replacement Candidate")))))</x:f>
      </x:c>
    </x:row>
    <x:row r="266">
      <x:c r="C266" s="42"/>
      <x:c r="D266" s="44"/>
      <x:c r="E266" s="44"/>
      <x:c r="F266" s="44"/>
      <x:c r="G266" s="44"/>
      <x:c r="I266" s="44"/>
      <x:c r="J266" s="44"/>
      <x:c r="K266" s="44" t="str">
        <x:f>IF(COUNTA(D266:J266)=0,"",D266*0.25+E266*0.10+F266*0.20+G266*0.10+(H266/5)*0.10+I266*0.15+(1-J266)*0.10)</x:f>
      </x:c>
      <x:c r="L266" t="str">
        <x:f>IF(K266="","",IF(K266&gt;=0.90,"Preferred",IF(K266&gt;=0.80,"Approved",IF(K266&gt;=0.70,"Conditional",IF(K266&gt;=0.60,"Improvement Required","Replacement Candidate")))))</x:f>
      </x:c>
    </x:row>
    <x:row r="267">
      <x:c r="C267" s="42"/>
      <x:c r="D267" s="44"/>
      <x:c r="E267" s="44"/>
      <x:c r="F267" s="44"/>
      <x:c r="G267" s="44"/>
      <x:c r="I267" s="44"/>
      <x:c r="J267" s="44"/>
      <x:c r="K267" s="44" t="str">
        <x:f>IF(COUNTA(D267:J267)=0,"",D267*0.25+E267*0.10+F267*0.20+G267*0.10+(H267/5)*0.10+I267*0.15+(1-J267)*0.10)</x:f>
      </x:c>
      <x:c r="L267" t="str">
        <x:f>IF(K267="","",IF(K267&gt;=0.90,"Preferred",IF(K267&gt;=0.80,"Approved",IF(K267&gt;=0.70,"Conditional",IF(K267&gt;=0.60,"Improvement Required","Replacement Candidate")))))</x:f>
      </x:c>
    </x:row>
    <x:row r="268">
      <x:c r="C268" s="42"/>
      <x:c r="D268" s="44"/>
      <x:c r="E268" s="44"/>
      <x:c r="F268" s="44"/>
      <x:c r="G268" s="44"/>
      <x:c r="I268" s="44"/>
      <x:c r="J268" s="44"/>
      <x:c r="K268" s="44" t="str">
        <x:f>IF(COUNTA(D268:J268)=0,"",D268*0.25+E268*0.10+F268*0.20+G268*0.10+(H268/5)*0.10+I268*0.15+(1-J268)*0.10)</x:f>
      </x:c>
      <x:c r="L268" t="str">
        <x:f>IF(K268="","",IF(K268&gt;=0.90,"Preferred",IF(K268&gt;=0.80,"Approved",IF(K268&gt;=0.70,"Conditional",IF(K268&gt;=0.60,"Improvement Required","Replacement Candidate")))))</x:f>
      </x:c>
    </x:row>
    <x:row r="269">
      <x:c r="C269" s="42"/>
      <x:c r="D269" s="44"/>
      <x:c r="E269" s="44"/>
      <x:c r="F269" s="44"/>
      <x:c r="G269" s="44"/>
      <x:c r="I269" s="44"/>
      <x:c r="J269" s="44"/>
      <x:c r="K269" s="44" t="str">
        <x:f>IF(COUNTA(D269:J269)=0,"",D269*0.25+E269*0.10+F269*0.20+G269*0.10+(H269/5)*0.10+I269*0.15+(1-J269)*0.10)</x:f>
      </x:c>
      <x:c r="L269" t="str">
        <x:f>IF(K269="","",IF(K269&gt;=0.90,"Preferred",IF(K269&gt;=0.80,"Approved",IF(K269&gt;=0.70,"Conditional",IF(K269&gt;=0.60,"Improvement Required","Replacement Candidate")))))</x:f>
      </x:c>
    </x:row>
    <x:row r="270">
      <x:c r="C270" s="42"/>
      <x:c r="D270" s="44"/>
      <x:c r="E270" s="44"/>
      <x:c r="F270" s="44"/>
      <x:c r="G270" s="44"/>
      <x:c r="I270" s="44"/>
      <x:c r="J270" s="44"/>
      <x:c r="K270" s="44" t="str">
        <x:f>IF(COUNTA(D270:J270)=0,"",D270*0.25+E270*0.10+F270*0.20+G270*0.10+(H270/5)*0.10+I270*0.15+(1-J270)*0.10)</x:f>
      </x:c>
      <x:c r="L270" t="str">
        <x:f>IF(K270="","",IF(K270&gt;=0.90,"Preferred",IF(K270&gt;=0.80,"Approved",IF(K270&gt;=0.70,"Conditional",IF(K270&gt;=0.60,"Improvement Required","Replacement Candidate")))))</x:f>
      </x:c>
    </x:row>
    <x:row r="271">
      <x:c r="C271" s="42"/>
      <x:c r="D271" s="44"/>
      <x:c r="E271" s="44"/>
      <x:c r="F271" s="44"/>
      <x:c r="G271" s="44"/>
      <x:c r="I271" s="44"/>
      <x:c r="J271" s="44"/>
      <x:c r="K271" s="44" t="str">
        <x:f>IF(COUNTA(D271:J271)=0,"",D271*0.25+E271*0.10+F271*0.20+G271*0.10+(H271/5)*0.10+I271*0.15+(1-J271)*0.10)</x:f>
      </x:c>
      <x:c r="L271" t="str">
        <x:f>IF(K271="","",IF(K271&gt;=0.90,"Preferred",IF(K271&gt;=0.80,"Approved",IF(K271&gt;=0.70,"Conditional",IF(K271&gt;=0.60,"Improvement Required","Replacement Candidate")))))</x:f>
      </x:c>
    </x:row>
    <x:row r="272">
      <x:c r="C272" s="42"/>
      <x:c r="D272" s="44"/>
      <x:c r="E272" s="44"/>
      <x:c r="F272" s="44"/>
      <x:c r="G272" s="44"/>
      <x:c r="I272" s="44"/>
      <x:c r="J272" s="44"/>
      <x:c r="K272" s="44" t="str">
        <x:f>IF(COUNTA(D272:J272)=0,"",D272*0.25+E272*0.10+F272*0.20+G272*0.10+(H272/5)*0.10+I272*0.15+(1-J272)*0.10)</x:f>
      </x:c>
      <x:c r="L272" t="str">
        <x:f>IF(K272="","",IF(K272&gt;=0.90,"Preferred",IF(K272&gt;=0.80,"Approved",IF(K272&gt;=0.70,"Conditional",IF(K272&gt;=0.60,"Improvement Required","Replacement Candidate")))))</x:f>
      </x:c>
    </x:row>
    <x:row r="273">
      <x:c r="C273" s="42"/>
      <x:c r="D273" s="44"/>
      <x:c r="E273" s="44"/>
      <x:c r="F273" s="44"/>
      <x:c r="G273" s="44"/>
      <x:c r="I273" s="44"/>
      <x:c r="J273" s="44"/>
      <x:c r="K273" s="44" t="str">
        <x:f>IF(COUNTA(D273:J273)=0,"",D273*0.25+E273*0.10+F273*0.20+G273*0.10+(H273/5)*0.10+I273*0.15+(1-J273)*0.10)</x:f>
      </x:c>
      <x:c r="L273" t="str">
        <x:f>IF(K273="","",IF(K273&gt;=0.90,"Preferred",IF(K273&gt;=0.80,"Approved",IF(K273&gt;=0.70,"Conditional",IF(K273&gt;=0.60,"Improvement Required","Replacement Candidate")))))</x:f>
      </x:c>
    </x:row>
    <x:row r="274">
      <x:c r="C274" s="42"/>
      <x:c r="D274" s="44"/>
      <x:c r="E274" s="44"/>
      <x:c r="F274" s="44"/>
      <x:c r="G274" s="44"/>
      <x:c r="I274" s="44"/>
      <x:c r="J274" s="44"/>
      <x:c r="K274" s="44" t="str">
        <x:f>IF(COUNTA(D274:J274)=0,"",D274*0.25+E274*0.10+F274*0.20+G274*0.10+(H274/5)*0.10+I274*0.15+(1-J274)*0.10)</x:f>
      </x:c>
      <x:c r="L274" t="str">
        <x:f>IF(K274="","",IF(K274&gt;=0.90,"Preferred",IF(K274&gt;=0.80,"Approved",IF(K274&gt;=0.70,"Conditional",IF(K274&gt;=0.60,"Improvement Required","Replacement Candidate")))))</x:f>
      </x:c>
    </x:row>
    <x:row r="275">
      <x:c r="C275" s="42"/>
      <x:c r="D275" s="44"/>
      <x:c r="E275" s="44"/>
      <x:c r="F275" s="44"/>
      <x:c r="G275" s="44"/>
      <x:c r="I275" s="44"/>
      <x:c r="J275" s="44"/>
      <x:c r="K275" s="44" t="str">
        <x:f>IF(COUNTA(D275:J275)=0,"",D275*0.25+E275*0.10+F275*0.20+G275*0.10+(H275/5)*0.10+I275*0.15+(1-J275)*0.10)</x:f>
      </x:c>
      <x:c r="L275" t="str">
        <x:f>IF(K275="","",IF(K275&gt;=0.90,"Preferred",IF(K275&gt;=0.80,"Approved",IF(K275&gt;=0.70,"Conditional",IF(K275&gt;=0.60,"Improvement Required","Replacement Candidate")))))</x:f>
      </x:c>
    </x:row>
    <x:row r="276">
      <x:c r="C276" s="42"/>
      <x:c r="D276" s="44"/>
      <x:c r="E276" s="44"/>
      <x:c r="F276" s="44"/>
      <x:c r="G276" s="44"/>
      <x:c r="I276" s="44"/>
      <x:c r="J276" s="44"/>
      <x:c r="K276" s="44" t="str">
        <x:f>IF(COUNTA(D276:J276)=0,"",D276*0.25+E276*0.10+F276*0.20+G276*0.10+(H276/5)*0.10+I276*0.15+(1-J276)*0.10)</x:f>
      </x:c>
      <x:c r="L276" t="str">
        <x:f>IF(K276="","",IF(K276&gt;=0.90,"Preferred",IF(K276&gt;=0.80,"Approved",IF(K276&gt;=0.70,"Conditional",IF(K276&gt;=0.60,"Improvement Required","Replacement Candidate")))))</x:f>
      </x:c>
    </x:row>
    <x:row r="277">
      <x:c r="C277" s="42"/>
      <x:c r="D277" s="44"/>
      <x:c r="E277" s="44"/>
      <x:c r="F277" s="44"/>
      <x:c r="G277" s="44"/>
      <x:c r="I277" s="44"/>
      <x:c r="J277" s="44"/>
      <x:c r="K277" s="44" t="str">
        <x:f>IF(COUNTA(D277:J277)=0,"",D277*0.25+E277*0.10+F277*0.20+G277*0.10+(H277/5)*0.10+I277*0.15+(1-J277)*0.10)</x:f>
      </x:c>
      <x:c r="L277" t="str">
        <x:f>IF(K277="","",IF(K277&gt;=0.90,"Preferred",IF(K277&gt;=0.80,"Approved",IF(K277&gt;=0.70,"Conditional",IF(K277&gt;=0.60,"Improvement Required","Replacement Candidate")))))</x:f>
      </x:c>
    </x:row>
    <x:row r="278">
      <x:c r="C278" s="42"/>
      <x:c r="D278" s="44"/>
      <x:c r="E278" s="44"/>
      <x:c r="F278" s="44"/>
      <x:c r="G278" s="44"/>
      <x:c r="I278" s="44"/>
      <x:c r="J278" s="44"/>
      <x:c r="K278" s="44" t="str">
        <x:f>IF(COUNTA(D278:J278)=0,"",D278*0.25+E278*0.10+F278*0.20+G278*0.10+(H278/5)*0.10+I278*0.15+(1-J278)*0.10)</x:f>
      </x:c>
      <x:c r="L278" t="str">
        <x:f>IF(K278="","",IF(K278&gt;=0.90,"Preferred",IF(K278&gt;=0.80,"Approved",IF(K278&gt;=0.70,"Conditional",IF(K278&gt;=0.60,"Improvement Required","Replacement Candidate")))))</x:f>
      </x:c>
    </x:row>
    <x:row r="279">
      <x:c r="C279" s="42"/>
      <x:c r="D279" s="44"/>
      <x:c r="E279" s="44"/>
      <x:c r="F279" s="44"/>
      <x:c r="G279" s="44"/>
      <x:c r="I279" s="44"/>
      <x:c r="J279" s="44"/>
      <x:c r="K279" s="44" t="str">
        <x:f>IF(COUNTA(D279:J279)=0,"",D279*0.25+E279*0.10+F279*0.20+G279*0.10+(H279/5)*0.10+I279*0.15+(1-J279)*0.10)</x:f>
      </x:c>
      <x:c r="L279" t="str">
        <x:f>IF(K279="","",IF(K279&gt;=0.90,"Preferred",IF(K279&gt;=0.80,"Approved",IF(K279&gt;=0.70,"Conditional",IF(K279&gt;=0.60,"Improvement Required","Replacement Candidate")))))</x:f>
      </x:c>
    </x:row>
    <x:row r="280">
      <x:c r="C280" s="42"/>
      <x:c r="D280" s="44"/>
      <x:c r="E280" s="44"/>
      <x:c r="F280" s="44"/>
      <x:c r="G280" s="44"/>
      <x:c r="I280" s="44"/>
      <x:c r="J280" s="44"/>
      <x:c r="K280" s="44" t="str">
        <x:f>IF(COUNTA(D280:J280)=0,"",D280*0.25+E280*0.10+F280*0.20+G280*0.10+(H280/5)*0.10+I280*0.15+(1-J280)*0.10)</x:f>
      </x:c>
      <x:c r="L280" t="str">
        <x:f>IF(K280="","",IF(K280&gt;=0.90,"Preferred",IF(K280&gt;=0.80,"Approved",IF(K280&gt;=0.70,"Conditional",IF(K280&gt;=0.60,"Improvement Required","Replacement Candidate")))))</x:f>
      </x:c>
    </x:row>
    <x:row r="281">
      <x:c r="C281" s="42"/>
      <x:c r="D281" s="44"/>
      <x:c r="E281" s="44"/>
      <x:c r="F281" s="44"/>
      <x:c r="G281" s="44"/>
      <x:c r="I281" s="44"/>
      <x:c r="J281" s="44"/>
      <x:c r="K281" s="44" t="str">
        <x:f>IF(COUNTA(D281:J281)=0,"",D281*0.25+E281*0.10+F281*0.20+G281*0.10+(H281/5)*0.10+I281*0.15+(1-J281)*0.10)</x:f>
      </x:c>
      <x:c r="L281" t="str">
        <x:f>IF(K281="","",IF(K281&gt;=0.90,"Preferred",IF(K281&gt;=0.80,"Approved",IF(K281&gt;=0.70,"Conditional",IF(K281&gt;=0.60,"Improvement Required","Replacement Candidate")))))</x:f>
      </x:c>
    </x:row>
    <x:row r="282">
      <x:c r="C282" s="42"/>
      <x:c r="D282" s="44"/>
      <x:c r="E282" s="44"/>
      <x:c r="F282" s="44"/>
      <x:c r="G282" s="44"/>
      <x:c r="I282" s="44"/>
      <x:c r="J282" s="44"/>
      <x:c r="K282" s="44" t="str">
        <x:f>IF(COUNTA(D282:J282)=0,"",D282*0.25+E282*0.10+F282*0.20+G282*0.10+(H282/5)*0.10+I282*0.15+(1-J282)*0.10)</x:f>
      </x:c>
      <x:c r="L282" t="str">
        <x:f>IF(K282="","",IF(K282&gt;=0.90,"Preferred",IF(K282&gt;=0.80,"Approved",IF(K282&gt;=0.70,"Conditional",IF(K282&gt;=0.60,"Improvement Required","Replacement Candidate")))))</x:f>
      </x:c>
    </x:row>
    <x:row r="283">
      <x:c r="C283" s="42"/>
      <x:c r="D283" s="44"/>
      <x:c r="E283" s="44"/>
      <x:c r="F283" s="44"/>
      <x:c r="G283" s="44"/>
      <x:c r="I283" s="44"/>
      <x:c r="J283" s="44"/>
      <x:c r="K283" s="44" t="str">
        <x:f>IF(COUNTA(D283:J283)=0,"",D283*0.25+E283*0.10+F283*0.20+G283*0.10+(H283/5)*0.10+I283*0.15+(1-J283)*0.10)</x:f>
      </x:c>
      <x:c r="L283" t="str">
        <x:f>IF(K283="","",IF(K283&gt;=0.90,"Preferred",IF(K283&gt;=0.80,"Approved",IF(K283&gt;=0.70,"Conditional",IF(K283&gt;=0.60,"Improvement Required","Replacement Candidate")))))</x:f>
      </x:c>
    </x:row>
    <x:row r="284">
      <x:c r="C284" s="42"/>
      <x:c r="D284" s="44"/>
      <x:c r="E284" s="44"/>
      <x:c r="F284" s="44"/>
      <x:c r="G284" s="44"/>
      <x:c r="I284" s="44"/>
      <x:c r="J284" s="44"/>
      <x:c r="K284" s="44" t="str">
        <x:f>IF(COUNTA(D284:J284)=0,"",D284*0.25+E284*0.10+F284*0.20+G284*0.10+(H284/5)*0.10+I284*0.15+(1-J284)*0.10)</x:f>
      </x:c>
      <x:c r="L284" t="str">
        <x:f>IF(K284="","",IF(K284&gt;=0.90,"Preferred",IF(K284&gt;=0.80,"Approved",IF(K284&gt;=0.70,"Conditional",IF(K284&gt;=0.60,"Improvement Required","Replacement Candidate")))))</x:f>
      </x:c>
    </x:row>
    <x:row r="285">
      <x:c r="C285" s="42"/>
      <x:c r="D285" s="44"/>
      <x:c r="E285" s="44"/>
      <x:c r="F285" s="44"/>
      <x:c r="G285" s="44"/>
      <x:c r="I285" s="44"/>
      <x:c r="J285" s="44"/>
      <x:c r="K285" s="44" t="str">
        <x:f>IF(COUNTA(D285:J285)=0,"",D285*0.25+E285*0.10+F285*0.20+G285*0.10+(H285/5)*0.10+I285*0.15+(1-J285)*0.10)</x:f>
      </x:c>
      <x:c r="L285" t="str">
        <x:f>IF(K285="","",IF(K285&gt;=0.90,"Preferred",IF(K285&gt;=0.80,"Approved",IF(K285&gt;=0.70,"Conditional",IF(K285&gt;=0.60,"Improvement Required","Replacement Candidate")))))</x:f>
      </x:c>
    </x:row>
    <x:row r="286">
      <x:c r="C286" s="42"/>
      <x:c r="D286" s="44"/>
      <x:c r="E286" s="44"/>
      <x:c r="F286" s="44"/>
      <x:c r="G286" s="44"/>
      <x:c r="I286" s="44"/>
      <x:c r="J286" s="44"/>
      <x:c r="K286" s="44" t="str">
        <x:f>IF(COUNTA(D286:J286)=0,"",D286*0.25+E286*0.10+F286*0.20+G286*0.10+(H286/5)*0.10+I286*0.15+(1-J286)*0.10)</x:f>
      </x:c>
      <x:c r="L286" t="str">
        <x:f>IF(K286="","",IF(K286&gt;=0.90,"Preferred",IF(K286&gt;=0.80,"Approved",IF(K286&gt;=0.70,"Conditional",IF(K286&gt;=0.60,"Improvement Required","Replacement Candidate")))))</x:f>
      </x:c>
    </x:row>
    <x:row r="287">
      <x:c r="C287" s="42"/>
      <x:c r="D287" s="44"/>
      <x:c r="E287" s="44"/>
      <x:c r="F287" s="44"/>
      <x:c r="G287" s="44"/>
      <x:c r="I287" s="44"/>
      <x:c r="J287" s="44"/>
      <x:c r="K287" s="44" t="str">
        <x:f>IF(COUNTA(D287:J287)=0,"",D287*0.25+E287*0.10+F287*0.20+G287*0.10+(H287/5)*0.10+I287*0.15+(1-J287)*0.10)</x:f>
      </x:c>
      <x:c r="L287" t="str">
        <x:f>IF(K287="","",IF(K287&gt;=0.90,"Preferred",IF(K287&gt;=0.80,"Approved",IF(K287&gt;=0.70,"Conditional",IF(K287&gt;=0.60,"Improvement Required","Replacement Candidate")))))</x:f>
      </x:c>
    </x:row>
    <x:row r="288">
      <x:c r="C288" s="42"/>
      <x:c r="D288" s="44"/>
      <x:c r="E288" s="44"/>
      <x:c r="F288" s="44"/>
      <x:c r="G288" s="44"/>
      <x:c r="I288" s="44"/>
      <x:c r="J288" s="44"/>
      <x:c r="K288" s="44" t="str">
        <x:f>IF(COUNTA(D288:J288)=0,"",D288*0.25+E288*0.10+F288*0.20+G288*0.10+(H288/5)*0.10+I288*0.15+(1-J288)*0.10)</x:f>
      </x:c>
      <x:c r="L288" t="str">
        <x:f>IF(K288="","",IF(K288&gt;=0.90,"Preferred",IF(K288&gt;=0.80,"Approved",IF(K288&gt;=0.70,"Conditional",IF(K288&gt;=0.60,"Improvement Required","Replacement Candidate")))))</x:f>
      </x:c>
    </x:row>
    <x:row r="289">
      <x:c r="C289" s="42"/>
      <x:c r="D289" s="44"/>
      <x:c r="E289" s="44"/>
      <x:c r="F289" s="44"/>
      <x:c r="G289" s="44"/>
      <x:c r="I289" s="44"/>
      <x:c r="J289" s="44"/>
      <x:c r="K289" s="44" t="str">
        <x:f>IF(COUNTA(D289:J289)=0,"",D289*0.25+E289*0.10+F289*0.20+G289*0.10+(H289/5)*0.10+I289*0.15+(1-J289)*0.10)</x:f>
      </x:c>
      <x:c r="L289" t="str">
        <x:f>IF(K289="","",IF(K289&gt;=0.90,"Preferred",IF(K289&gt;=0.80,"Approved",IF(K289&gt;=0.70,"Conditional",IF(K289&gt;=0.60,"Improvement Required","Replacement Candidate")))))</x:f>
      </x:c>
    </x:row>
    <x:row r="290">
      <x:c r="C290" s="42"/>
      <x:c r="D290" s="44"/>
      <x:c r="E290" s="44"/>
      <x:c r="F290" s="44"/>
      <x:c r="G290" s="44"/>
      <x:c r="I290" s="44"/>
      <x:c r="J290" s="44"/>
      <x:c r="K290" s="44" t="str">
        <x:f>IF(COUNTA(D290:J290)=0,"",D290*0.25+E290*0.10+F290*0.20+G290*0.10+(H290/5)*0.10+I290*0.15+(1-J290)*0.10)</x:f>
      </x:c>
      <x:c r="L290" t="str">
        <x:f>IF(K290="","",IF(K290&gt;=0.90,"Preferred",IF(K290&gt;=0.80,"Approved",IF(K290&gt;=0.70,"Conditional",IF(K290&gt;=0.60,"Improvement Required","Replacement Candidate")))))</x:f>
      </x:c>
    </x:row>
    <x:row r="291">
      <x:c r="C291" s="42"/>
      <x:c r="D291" s="44"/>
      <x:c r="E291" s="44"/>
      <x:c r="F291" s="44"/>
      <x:c r="G291" s="44"/>
      <x:c r="I291" s="44"/>
      <x:c r="J291" s="44"/>
      <x:c r="K291" s="44" t="str">
        <x:f>IF(COUNTA(D291:J291)=0,"",D291*0.25+E291*0.10+F291*0.20+G291*0.10+(H291/5)*0.10+I291*0.15+(1-J291)*0.10)</x:f>
      </x:c>
      <x:c r="L291" t="str">
        <x:f>IF(K291="","",IF(K291&gt;=0.90,"Preferred",IF(K291&gt;=0.80,"Approved",IF(K291&gt;=0.70,"Conditional",IF(K291&gt;=0.60,"Improvement Required","Replacement Candidate")))))</x:f>
      </x:c>
    </x:row>
    <x:row r="292">
      <x:c r="C292" s="42"/>
      <x:c r="D292" s="44"/>
      <x:c r="E292" s="44"/>
      <x:c r="F292" s="44"/>
      <x:c r="G292" s="44"/>
      <x:c r="I292" s="44"/>
      <x:c r="J292" s="44"/>
      <x:c r="K292" s="44" t="str">
        <x:f>IF(COUNTA(D292:J292)=0,"",D292*0.25+E292*0.10+F292*0.20+G292*0.10+(H292/5)*0.10+I292*0.15+(1-J292)*0.10)</x:f>
      </x:c>
      <x:c r="L292" t="str">
        <x:f>IF(K292="","",IF(K292&gt;=0.90,"Preferred",IF(K292&gt;=0.80,"Approved",IF(K292&gt;=0.70,"Conditional",IF(K292&gt;=0.60,"Improvement Required","Replacement Candidate")))))</x:f>
      </x:c>
    </x:row>
    <x:row r="293">
      <x:c r="C293" s="42"/>
      <x:c r="D293" s="44"/>
      <x:c r="E293" s="44"/>
      <x:c r="F293" s="44"/>
      <x:c r="G293" s="44"/>
      <x:c r="I293" s="44"/>
      <x:c r="J293" s="44"/>
      <x:c r="K293" s="44" t="str">
        <x:f>IF(COUNTA(D293:J293)=0,"",D293*0.25+E293*0.10+F293*0.20+G293*0.10+(H293/5)*0.10+I293*0.15+(1-J293)*0.10)</x:f>
      </x:c>
      <x:c r="L293" t="str">
        <x:f>IF(K293="","",IF(K293&gt;=0.90,"Preferred",IF(K293&gt;=0.80,"Approved",IF(K293&gt;=0.70,"Conditional",IF(K293&gt;=0.60,"Improvement Required","Replacement Candidate")))))</x:f>
      </x:c>
    </x:row>
    <x:row r="294">
      <x:c r="C294" s="42"/>
      <x:c r="D294" s="44"/>
      <x:c r="E294" s="44"/>
      <x:c r="F294" s="44"/>
      <x:c r="G294" s="44"/>
      <x:c r="I294" s="44"/>
      <x:c r="J294" s="44"/>
      <x:c r="K294" s="44" t="str">
        <x:f>IF(COUNTA(D294:J294)=0,"",D294*0.25+E294*0.10+F294*0.20+G294*0.10+(H294/5)*0.10+I294*0.15+(1-J294)*0.10)</x:f>
      </x:c>
      <x:c r="L294" t="str">
        <x:f>IF(K294="","",IF(K294&gt;=0.90,"Preferred",IF(K294&gt;=0.80,"Approved",IF(K294&gt;=0.70,"Conditional",IF(K294&gt;=0.60,"Improvement Required","Replacement Candidate")))))</x:f>
      </x:c>
    </x:row>
    <x:row r="295">
      <x:c r="C295" s="42"/>
      <x:c r="D295" s="44"/>
      <x:c r="E295" s="44"/>
      <x:c r="F295" s="44"/>
      <x:c r="G295" s="44"/>
      <x:c r="I295" s="44"/>
      <x:c r="J295" s="44"/>
      <x:c r="K295" s="44" t="str">
        <x:f>IF(COUNTA(D295:J295)=0,"",D295*0.25+E295*0.10+F295*0.20+G295*0.10+(H295/5)*0.10+I295*0.15+(1-J295)*0.10)</x:f>
      </x:c>
      <x:c r="L295" t="str">
        <x:f>IF(K295="","",IF(K295&gt;=0.90,"Preferred",IF(K295&gt;=0.80,"Approved",IF(K295&gt;=0.70,"Conditional",IF(K295&gt;=0.60,"Improvement Required","Replacement Candidate")))))</x:f>
      </x:c>
    </x:row>
    <x:row r="296">
      <x:c r="C296" s="42"/>
      <x:c r="D296" s="44"/>
      <x:c r="E296" s="44"/>
      <x:c r="F296" s="44"/>
      <x:c r="G296" s="44"/>
      <x:c r="I296" s="44"/>
      <x:c r="J296" s="44"/>
      <x:c r="K296" s="44" t="str">
        <x:f>IF(COUNTA(D296:J296)=0,"",D296*0.25+E296*0.10+F296*0.20+G296*0.10+(H296/5)*0.10+I296*0.15+(1-J296)*0.10)</x:f>
      </x:c>
      <x:c r="L296" t="str">
        <x:f>IF(K296="","",IF(K296&gt;=0.90,"Preferred",IF(K296&gt;=0.80,"Approved",IF(K296&gt;=0.70,"Conditional",IF(K296&gt;=0.60,"Improvement Required","Replacement Candidate")))))</x:f>
      </x:c>
    </x:row>
    <x:row r="297">
      <x:c r="C297" s="42"/>
      <x:c r="D297" s="44"/>
      <x:c r="E297" s="44"/>
      <x:c r="F297" s="44"/>
      <x:c r="G297" s="44"/>
      <x:c r="I297" s="44"/>
      <x:c r="J297" s="44"/>
      <x:c r="K297" s="44" t="str">
        <x:f>IF(COUNTA(D297:J297)=0,"",D297*0.25+E297*0.10+F297*0.20+G297*0.10+(H297/5)*0.10+I297*0.15+(1-J297)*0.10)</x:f>
      </x:c>
      <x:c r="L297" t="str">
        <x:f>IF(K297="","",IF(K297&gt;=0.90,"Preferred",IF(K297&gt;=0.80,"Approved",IF(K297&gt;=0.70,"Conditional",IF(K297&gt;=0.60,"Improvement Required","Replacement Candidate")))))</x:f>
      </x:c>
    </x:row>
    <x:row r="298">
      <x:c r="C298" s="42"/>
      <x:c r="D298" s="44"/>
      <x:c r="E298" s="44"/>
      <x:c r="F298" s="44"/>
      <x:c r="G298" s="44"/>
      <x:c r="I298" s="44"/>
      <x:c r="J298" s="44"/>
      <x:c r="K298" s="44" t="str">
        <x:f>IF(COUNTA(D298:J298)=0,"",D298*0.25+E298*0.10+F298*0.20+G298*0.10+(H298/5)*0.10+I298*0.15+(1-J298)*0.10)</x:f>
      </x:c>
      <x:c r="L298" t="str">
        <x:f>IF(K298="","",IF(K298&gt;=0.90,"Preferred",IF(K298&gt;=0.80,"Approved",IF(K298&gt;=0.70,"Conditional",IF(K298&gt;=0.60,"Improvement Required","Replacement Candidate")))))</x:f>
      </x:c>
    </x:row>
    <x:row r="299">
      <x:c r="C299" s="42"/>
      <x:c r="D299" s="44"/>
      <x:c r="E299" s="44"/>
      <x:c r="F299" s="44"/>
      <x:c r="G299" s="44"/>
      <x:c r="I299" s="44"/>
      <x:c r="J299" s="44"/>
      <x:c r="K299" s="44" t="str">
        <x:f>IF(COUNTA(D299:J299)=0,"",D299*0.25+E299*0.10+F299*0.20+G299*0.10+(H299/5)*0.10+I299*0.15+(1-J299)*0.10)</x:f>
      </x:c>
      <x:c r="L299" t="str">
        <x:f>IF(K299="","",IF(K299&gt;=0.90,"Preferred",IF(K299&gt;=0.80,"Approved",IF(K299&gt;=0.70,"Conditional",IF(K299&gt;=0.60,"Improvement Required","Replacement Candidate")))))</x:f>
      </x:c>
    </x:row>
    <x:row r="300">
      <x:c r="C300" s="42"/>
      <x:c r="D300" s="44"/>
      <x:c r="E300" s="44"/>
      <x:c r="F300" s="44"/>
      <x:c r="G300" s="44"/>
      <x:c r="I300" s="44"/>
      <x:c r="J300" s="44"/>
      <x:c r="K300" s="44" t="str">
        <x:f>IF(COUNTA(D300:J300)=0,"",D300*0.25+E300*0.10+F300*0.20+G300*0.10+(H300/5)*0.10+I300*0.15+(1-J300)*0.10)</x:f>
      </x:c>
      <x:c r="L300" t="str">
        <x:f>IF(K300="","",IF(K300&gt;=0.90,"Preferred",IF(K300&gt;=0.80,"Approved",IF(K300&gt;=0.70,"Conditional",IF(K300&gt;=0.60,"Improvement Required","Replacement Candidate")))))</x:f>
      </x:c>
    </x:row>
    <x:row r="301">
      <x:c r="C301" s="42"/>
      <x:c r="D301" s="44"/>
      <x:c r="E301" s="44"/>
      <x:c r="F301" s="44"/>
      <x:c r="G301" s="44"/>
      <x:c r="I301" s="44"/>
      <x:c r="J301" s="44"/>
      <x:c r="K301" s="44" t="str">
        <x:f>IF(COUNTA(D301:J301)=0,"",D301*0.25+E301*0.10+F301*0.20+G301*0.10+(H301/5)*0.10+I301*0.15+(1-J301)*0.10)</x:f>
      </x:c>
      <x:c r="L301" t="str">
        <x:f>IF(K301="","",IF(K301&gt;=0.90,"Preferred",IF(K301&gt;=0.80,"Approved",IF(K301&gt;=0.70,"Conditional",IF(K301&gt;=0.60,"Improvement Required","Replacement Candidate")))))</x:f>
      </x:c>
    </x:row>
    <x:row r="302">
      <x:c r="C302" s="42"/>
      <x:c r="D302" s="44"/>
      <x:c r="E302" s="44"/>
      <x:c r="F302" s="44"/>
      <x:c r="G302" s="44"/>
      <x:c r="I302" s="44"/>
      <x:c r="J302" s="44"/>
      <x:c r="K302" s="44" t="str">
        <x:f>IF(COUNTA(D302:J302)=0,"",D302*0.25+E302*0.10+F302*0.20+G302*0.10+(H302/5)*0.10+I302*0.15+(1-J302)*0.10)</x:f>
      </x:c>
      <x:c r="L302" t="str">
        <x:f>IF(K302="","",IF(K302&gt;=0.90,"Preferred",IF(K302&gt;=0.80,"Approved",IF(K302&gt;=0.70,"Conditional",IF(K302&gt;=0.60,"Improvement Required","Replacement Candidate")))))</x:f>
      </x:c>
    </x:row>
    <x:row r="303">
      <x:c r="C303" s="42"/>
      <x:c r="D303" s="44"/>
      <x:c r="E303" s="44"/>
      <x:c r="F303" s="44"/>
      <x:c r="G303" s="44"/>
      <x:c r="I303" s="44"/>
      <x:c r="J303" s="44"/>
      <x:c r="K303" s="44" t="str">
        <x:f>IF(COUNTA(D303:J303)=0,"",D303*0.25+E303*0.10+F303*0.20+G303*0.10+(H303/5)*0.10+I303*0.15+(1-J303)*0.10)</x:f>
      </x:c>
      <x:c r="L303" t="str">
        <x:f>IF(K303="","",IF(K303&gt;=0.90,"Preferred",IF(K303&gt;=0.80,"Approved",IF(K303&gt;=0.70,"Conditional",IF(K303&gt;=0.60,"Improvement Required","Replacement Candidate")))))</x:f>
      </x:c>
    </x:row>
    <x:row r="304">
      <x:c r="C304" s="42"/>
      <x:c r="D304" s="44"/>
      <x:c r="E304" s="44"/>
      <x:c r="F304" s="44"/>
      <x:c r="G304" s="44"/>
      <x:c r="I304" s="44"/>
      <x:c r="J304" s="44"/>
      <x:c r="K304" s="44" t="str">
        <x:f>IF(COUNTA(D304:J304)=0,"",D304*0.25+E304*0.10+F304*0.20+G304*0.10+(H304/5)*0.10+I304*0.15+(1-J304)*0.10)</x:f>
      </x:c>
      <x:c r="L304" t="str">
        <x:f>IF(K304="","",IF(K304&gt;=0.90,"Preferred",IF(K304&gt;=0.80,"Approved",IF(K304&gt;=0.70,"Conditional",IF(K304&gt;=0.60,"Improvement Required","Replacement Candidate")))))</x:f>
      </x:c>
    </x:row>
    <x:row r="305">
      <x:c r="C305" s="42"/>
      <x:c r="D305" s="44"/>
      <x:c r="E305" s="44"/>
      <x:c r="F305" s="44"/>
      <x:c r="G305" s="44"/>
      <x:c r="I305" s="44"/>
      <x:c r="J305" s="44"/>
      <x:c r="K305" s="44" t="str">
        <x:f>IF(COUNTA(D305:J305)=0,"",D305*0.25+E305*0.10+F305*0.20+G305*0.10+(H305/5)*0.10+I305*0.15+(1-J305)*0.10)</x:f>
      </x:c>
      <x:c r="L305" t="str">
        <x:f>IF(K305="","",IF(K305&gt;=0.90,"Preferred",IF(K305&gt;=0.80,"Approved",IF(K305&gt;=0.70,"Conditional",IF(K305&gt;=0.60,"Improvement Required","Replacement Candidate")))))</x:f>
      </x:c>
    </x:row>
    <x:row r="306">
      <x:c r="C306" s="42"/>
      <x:c r="D306" s="44"/>
      <x:c r="E306" s="44"/>
      <x:c r="F306" s="44"/>
      <x:c r="G306" s="44"/>
      <x:c r="I306" s="44"/>
      <x:c r="J306" s="44"/>
      <x:c r="K306" s="44" t="str">
        <x:f>IF(COUNTA(D306:J306)=0,"",D306*0.25+E306*0.10+F306*0.20+G306*0.10+(H306/5)*0.10+I306*0.15+(1-J306)*0.10)</x:f>
      </x:c>
      <x:c r="L306" t="str">
        <x:f>IF(K306="","",IF(K306&gt;=0.90,"Preferred",IF(K306&gt;=0.80,"Approved",IF(K306&gt;=0.70,"Conditional",IF(K306&gt;=0.60,"Improvement Required","Replacement Candidate")))))</x:f>
      </x:c>
    </x:row>
    <x:row r="307">
      <x:c r="C307" s="42"/>
      <x:c r="D307" s="44"/>
      <x:c r="E307" s="44"/>
      <x:c r="F307" s="44"/>
      <x:c r="G307" s="44"/>
      <x:c r="I307" s="44"/>
      <x:c r="J307" s="44"/>
      <x:c r="K307" s="44" t="str">
        <x:f>IF(COUNTA(D307:J307)=0,"",D307*0.25+E307*0.10+F307*0.20+G307*0.10+(H307/5)*0.10+I307*0.15+(1-J307)*0.10)</x:f>
      </x:c>
      <x:c r="L307" t="str">
        <x:f>IF(K307="","",IF(K307&gt;=0.90,"Preferred",IF(K307&gt;=0.80,"Approved",IF(K307&gt;=0.70,"Conditional",IF(K307&gt;=0.60,"Improvement Required","Replacement Candidate")))))</x:f>
      </x:c>
    </x:row>
    <x:row r="308">
      <x:c r="C308" s="42"/>
      <x:c r="D308" s="44"/>
      <x:c r="E308" s="44"/>
      <x:c r="F308" s="44"/>
      <x:c r="G308" s="44"/>
      <x:c r="I308" s="44"/>
      <x:c r="J308" s="44"/>
      <x:c r="K308" s="44" t="str">
        <x:f>IF(COUNTA(D308:J308)=0,"",D308*0.25+E308*0.10+F308*0.20+G308*0.10+(H308/5)*0.10+I308*0.15+(1-J308)*0.10)</x:f>
      </x:c>
      <x:c r="L308" t="str">
        <x:f>IF(K308="","",IF(K308&gt;=0.90,"Preferred",IF(K308&gt;=0.80,"Approved",IF(K308&gt;=0.70,"Conditional",IF(K308&gt;=0.60,"Improvement Required","Replacement Candidate")))))</x:f>
      </x:c>
    </x:row>
    <x:row r="309">
      <x:c r="C309" s="42"/>
      <x:c r="D309" s="44"/>
      <x:c r="E309" s="44"/>
      <x:c r="F309" s="44"/>
      <x:c r="G309" s="44"/>
      <x:c r="I309" s="44"/>
      <x:c r="J309" s="44"/>
      <x:c r="K309" s="44" t="str">
        <x:f>IF(COUNTA(D309:J309)=0,"",D309*0.25+E309*0.10+F309*0.20+G309*0.10+(H309/5)*0.10+I309*0.15+(1-J309)*0.10)</x:f>
      </x:c>
      <x:c r="L309" t="str">
        <x:f>IF(K309="","",IF(K309&gt;=0.90,"Preferred",IF(K309&gt;=0.80,"Approved",IF(K309&gt;=0.70,"Conditional",IF(K309&gt;=0.60,"Improvement Required","Replacement Candidate")))))</x:f>
      </x:c>
    </x:row>
    <x:row r="310">
      <x:c r="C310" s="42"/>
      <x:c r="D310" s="44"/>
      <x:c r="E310" s="44"/>
      <x:c r="F310" s="44"/>
      <x:c r="G310" s="44"/>
      <x:c r="I310" s="44"/>
      <x:c r="J310" s="44"/>
      <x:c r="K310" s="44" t="str">
        <x:f>IF(COUNTA(D310:J310)=0,"",D310*0.25+E310*0.10+F310*0.20+G310*0.10+(H310/5)*0.10+I310*0.15+(1-J310)*0.10)</x:f>
      </x:c>
      <x:c r="L310" t="str">
        <x:f>IF(K310="","",IF(K310&gt;=0.90,"Preferred",IF(K310&gt;=0.80,"Approved",IF(K310&gt;=0.70,"Conditional",IF(K310&gt;=0.60,"Improvement Required","Replacement Candidate")))))</x:f>
      </x:c>
    </x:row>
    <x:row r="311">
      <x:c r="C311" s="42"/>
      <x:c r="D311" s="44"/>
      <x:c r="E311" s="44"/>
      <x:c r="F311" s="44"/>
      <x:c r="G311" s="44"/>
      <x:c r="I311" s="44"/>
      <x:c r="J311" s="44"/>
      <x:c r="K311" s="44" t="str">
        <x:f>IF(COUNTA(D311:J311)=0,"",D311*0.25+E311*0.10+F311*0.20+G311*0.10+(H311/5)*0.10+I311*0.15+(1-J311)*0.10)</x:f>
      </x:c>
      <x:c r="L311" t="str">
        <x:f>IF(K311="","",IF(K311&gt;=0.90,"Preferred",IF(K311&gt;=0.80,"Approved",IF(K311&gt;=0.70,"Conditional",IF(K311&gt;=0.60,"Improvement Required","Replacement Candidate")))))</x:f>
      </x:c>
    </x:row>
    <x:row r="312">
      <x:c r="C312" s="42"/>
      <x:c r="D312" s="44"/>
      <x:c r="E312" s="44"/>
      <x:c r="F312" s="44"/>
      <x:c r="G312" s="44"/>
      <x:c r="I312" s="44"/>
      <x:c r="J312" s="44"/>
      <x:c r="K312" s="44" t="str">
        <x:f>IF(COUNTA(D312:J312)=0,"",D312*0.25+E312*0.10+F312*0.20+G312*0.10+(H312/5)*0.10+I312*0.15+(1-J312)*0.10)</x:f>
      </x:c>
      <x:c r="L312" t="str">
        <x:f>IF(K312="","",IF(K312&gt;=0.90,"Preferred",IF(K312&gt;=0.80,"Approved",IF(K312&gt;=0.70,"Conditional",IF(K312&gt;=0.60,"Improvement Required","Replacement Candidate")))))</x:f>
      </x:c>
    </x:row>
    <x:row r="313">
      <x:c r="C313" s="42"/>
      <x:c r="D313" s="44"/>
      <x:c r="E313" s="44"/>
      <x:c r="F313" s="44"/>
      <x:c r="G313" s="44"/>
      <x:c r="I313" s="44"/>
      <x:c r="J313" s="44"/>
      <x:c r="K313" s="44" t="str">
        <x:f>IF(COUNTA(D313:J313)=0,"",D313*0.25+E313*0.10+F313*0.20+G313*0.10+(H313/5)*0.10+I313*0.15+(1-J313)*0.10)</x:f>
      </x:c>
      <x:c r="L313" t="str">
        <x:f>IF(K313="","",IF(K313&gt;=0.90,"Preferred",IF(K313&gt;=0.80,"Approved",IF(K313&gt;=0.70,"Conditional",IF(K313&gt;=0.60,"Improvement Required","Replacement Candidate")))))</x:f>
      </x:c>
    </x:row>
    <x:row r="314">
      <x:c r="C314" s="42"/>
      <x:c r="D314" s="44"/>
      <x:c r="E314" s="44"/>
      <x:c r="F314" s="44"/>
      <x:c r="G314" s="44"/>
      <x:c r="I314" s="44"/>
      <x:c r="J314" s="44"/>
      <x:c r="K314" s="44" t="str">
        <x:f>IF(COUNTA(D314:J314)=0,"",D314*0.25+E314*0.10+F314*0.20+G314*0.10+(H314/5)*0.10+I314*0.15+(1-J314)*0.10)</x:f>
      </x:c>
      <x:c r="L314" t="str">
        <x:f>IF(K314="","",IF(K314&gt;=0.90,"Preferred",IF(K314&gt;=0.80,"Approved",IF(K314&gt;=0.70,"Conditional",IF(K314&gt;=0.60,"Improvement Required","Replacement Candidate")))))</x:f>
      </x:c>
    </x:row>
    <x:row r="315">
      <x:c r="C315" s="42"/>
      <x:c r="D315" s="44"/>
      <x:c r="E315" s="44"/>
      <x:c r="F315" s="44"/>
      <x:c r="G315" s="44"/>
      <x:c r="I315" s="44"/>
      <x:c r="J315" s="44"/>
      <x:c r="K315" s="44" t="str">
        <x:f>IF(COUNTA(D315:J315)=0,"",D315*0.25+E315*0.10+F315*0.20+G315*0.10+(H315/5)*0.10+I315*0.15+(1-J315)*0.10)</x:f>
      </x:c>
      <x:c r="L315" t="str">
        <x:f>IF(K315="","",IF(K315&gt;=0.90,"Preferred",IF(K315&gt;=0.80,"Approved",IF(K315&gt;=0.70,"Conditional",IF(K315&gt;=0.60,"Improvement Required","Replacement Candidate")))))</x:f>
      </x:c>
    </x:row>
    <x:row r="316">
      <x:c r="C316" s="42"/>
      <x:c r="D316" s="44"/>
      <x:c r="E316" s="44"/>
      <x:c r="F316" s="44"/>
      <x:c r="G316" s="44"/>
      <x:c r="I316" s="44"/>
      <x:c r="J316" s="44"/>
      <x:c r="K316" s="44" t="str">
        <x:f>IF(COUNTA(D316:J316)=0,"",D316*0.25+E316*0.10+F316*0.20+G316*0.10+(H316/5)*0.10+I316*0.15+(1-J316)*0.10)</x:f>
      </x:c>
      <x:c r="L316" t="str">
        <x:f>IF(K316="","",IF(K316&gt;=0.90,"Preferred",IF(K316&gt;=0.80,"Approved",IF(K316&gt;=0.70,"Conditional",IF(K316&gt;=0.60,"Improvement Required","Replacement Candidate")))))</x:f>
      </x:c>
    </x:row>
    <x:row r="317">
      <x:c r="C317" s="42"/>
      <x:c r="D317" s="44"/>
      <x:c r="E317" s="44"/>
      <x:c r="F317" s="44"/>
      <x:c r="G317" s="44"/>
      <x:c r="I317" s="44"/>
      <x:c r="J317" s="44"/>
      <x:c r="K317" s="44" t="str">
        <x:f>IF(COUNTA(D317:J317)=0,"",D317*0.25+E317*0.10+F317*0.20+G317*0.10+(H317/5)*0.10+I317*0.15+(1-J317)*0.10)</x:f>
      </x:c>
      <x:c r="L317" t="str">
        <x:f>IF(K317="","",IF(K317&gt;=0.90,"Preferred",IF(K317&gt;=0.80,"Approved",IF(K317&gt;=0.70,"Conditional",IF(K317&gt;=0.60,"Improvement Required","Replacement Candidate")))))</x:f>
      </x:c>
    </x:row>
    <x:row r="318">
      <x:c r="C318" s="42"/>
      <x:c r="D318" s="44"/>
      <x:c r="E318" s="44"/>
      <x:c r="F318" s="44"/>
      <x:c r="G318" s="44"/>
      <x:c r="I318" s="44"/>
      <x:c r="J318" s="44"/>
      <x:c r="K318" s="44" t="str">
        <x:f>IF(COUNTA(D318:J318)=0,"",D318*0.25+E318*0.10+F318*0.20+G318*0.10+(H318/5)*0.10+I318*0.15+(1-J318)*0.10)</x:f>
      </x:c>
      <x:c r="L318" t="str">
        <x:f>IF(K318="","",IF(K318&gt;=0.90,"Preferred",IF(K318&gt;=0.80,"Approved",IF(K318&gt;=0.70,"Conditional",IF(K318&gt;=0.60,"Improvement Required","Replacement Candidate")))))</x:f>
      </x:c>
    </x:row>
    <x:row r="319">
      <x:c r="C319" s="42"/>
      <x:c r="D319" s="44"/>
      <x:c r="E319" s="44"/>
      <x:c r="F319" s="44"/>
      <x:c r="G319" s="44"/>
      <x:c r="I319" s="44"/>
      <x:c r="J319" s="44"/>
      <x:c r="K319" s="44" t="str">
        <x:f>IF(COUNTA(D319:J319)=0,"",D319*0.25+E319*0.10+F319*0.20+G319*0.10+(H319/5)*0.10+I319*0.15+(1-J319)*0.10)</x:f>
      </x:c>
      <x:c r="L319" t="str">
        <x:f>IF(K319="","",IF(K319&gt;=0.90,"Preferred",IF(K319&gt;=0.80,"Approved",IF(K319&gt;=0.70,"Conditional",IF(K319&gt;=0.60,"Improvement Required","Replacement Candidate")))))</x:f>
      </x:c>
    </x:row>
    <x:row r="320">
      <x:c r="C320" s="42"/>
      <x:c r="D320" s="44"/>
      <x:c r="E320" s="44"/>
      <x:c r="F320" s="44"/>
      <x:c r="G320" s="44"/>
      <x:c r="I320" s="44"/>
      <x:c r="J320" s="44"/>
      <x:c r="K320" s="44" t="str">
        <x:f>IF(COUNTA(D320:J320)=0,"",D320*0.25+E320*0.10+F320*0.20+G320*0.10+(H320/5)*0.10+I320*0.15+(1-J320)*0.10)</x:f>
      </x:c>
      <x:c r="L320" t="str">
        <x:f>IF(K320="","",IF(K320&gt;=0.90,"Preferred",IF(K320&gt;=0.80,"Approved",IF(K320&gt;=0.70,"Conditional",IF(K320&gt;=0.60,"Improvement Required","Replacement Candidate")))))</x:f>
      </x:c>
    </x:row>
    <x:row r="321">
      <x:c r="C321" s="42"/>
      <x:c r="D321" s="44"/>
      <x:c r="E321" s="44"/>
      <x:c r="F321" s="44"/>
      <x:c r="G321" s="44"/>
      <x:c r="I321" s="44"/>
      <x:c r="J321" s="44"/>
      <x:c r="K321" s="44" t="str">
        <x:f>IF(COUNTA(D321:J321)=0,"",D321*0.25+E321*0.10+F321*0.20+G321*0.10+(H321/5)*0.10+I321*0.15+(1-J321)*0.10)</x:f>
      </x:c>
      <x:c r="L321" t="str">
        <x:f>IF(K321="","",IF(K321&gt;=0.90,"Preferred",IF(K321&gt;=0.80,"Approved",IF(K321&gt;=0.70,"Conditional",IF(K321&gt;=0.60,"Improvement Required","Replacement Candidate")))))</x:f>
      </x:c>
    </x:row>
    <x:row r="322">
      <x:c r="C322" s="42"/>
      <x:c r="D322" s="44"/>
      <x:c r="E322" s="44"/>
      <x:c r="F322" s="44"/>
      <x:c r="G322" s="44"/>
      <x:c r="I322" s="44"/>
      <x:c r="J322" s="44"/>
      <x:c r="K322" s="44" t="str">
        <x:f>IF(COUNTA(D322:J322)=0,"",D322*0.25+E322*0.10+F322*0.20+G322*0.10+(H322/5)*0.10+I322*0.15+(1-J322)*0.10)</x:f>
      </x:c>
      <x:c r="L322" t="str">
        <x:f>IF(K322="","",IF(K322&gt;=0.90,"Preferred",IF(K322&gt;=0.80,"Approved",IF(K322&gt;=0.70,"Conditional",IF(K322&gt;=0.60,"Improvement Required","Replacement Candidate")))))</x:f>
      </x:c>
    </x:row>
    <x:row r="323">
      <x:c r="C323" s="42"/>
      <x:c r="D323" s="44"/>
      <x:c r="E323" s="44"/>
      <x:c r="F323" s="44"/>
      <x:c r="G323" s="44"/>
      <x:c r="I323" s="44"/>
      <x:c r="J323" s="44"/>
      <x:c r="K323" s="44" t="str">
        <x:f>IF(COUNTA(D323:J323)=0,"",D323*0.25+E323*0.10+F323*0.20+G323*0.10+(H323/5)*0.10+I323*0.15+(1-J323)*0.10)</x:f>
      </x:c>
      <x:c r="L323" t="str">
        <x:f>IF(K323="","",IF(K323&gt;=0.90,"Preferred",IF(K323&gt;=0.80,"Approved",IF(K323&gt;=0.70,"Conditional",IF(K323&gt;=0.60,"Improvement Required","Replacement Candidate")))))</x:f>
      </x:c>
    </x:row>
    <x:row r="324">
      <x:c r="C324" s="42"/>
      <x:c r="D324" s="44"/>
      <x:c r="E324" s="44"/>
      <x:c r="F324" s="44"/>
      <x:c r="G324" s="44"/>
      <x:c r="I324" s="44"/>
      <x:c r="J324" s="44"/>
      <x:c r="K324" s="44" t="str">
        <x:f>IF(COUNTA(D324:J324)=0,"",D324*0.25+E324*0.10+F324*0.20+G324*0.10+(H324/5)*0.10+I324*0.15+(1-J324)*0.10)</x:f>
      </x:c>
      <x:c r="L324" t="str">
        <x:f>IF(K324="","",IF(K324&gt;=0.90,"Preferred",IF(K324&gt;=0.80,"Approved",IF(K324&gt;=0.70,"Conditional",IF(K324&gt;=0.60,"Improvement Required","Replacement Candidate")))))</x:f>
      </x:c>
    </x:row>
    <x:row r="325">
      <x:c r="C325" s="42"/>
      <x:c r="D325" s="44"/>
      <x:c r="E325" s="44"/>
      <x:c r="F325" s="44"/>
      <x:c r="G325" s="44"/>
      <x:c r="I325" s="44"/>
      <x:c r="J325" s="44"/>
      <x:c r="K325" s="44" t="str">
        <x:f>IF(COUNTA(D325:J325)=0,"",D325*0.25+E325*0.10+F325*0.20+G325*0.10+(H325/5)*0.10+I325*0.15+(1-J325)*0.10)</x:f>
      </x:c>
      <x:c r="L325" t="str">
        <x:f>IF(K325="","",IF(K325&gt;=0.90,"Preferred",IF(K325&gt;=0.80,"Approved",IF(K325&gt;=0.70,"Conditional",IF(K325&gt;=0.60,"Improvement Required","Replacement Candidate")))))</x:f>
      </x:c>
    </x:row>
    <x:row r="326">
      <x:c r="C326" s="42"/>
      <x:c r="D326" s="44"/>
      <x:c r="E326" s="44"/>
      <x:c r="F326" s="44"/>
      <x:c r="G326" s="44"/>
      <x:c r="I326" s="44"/>
      <x:c r="J326" s="44"/>
      <x:c r="K326" s="44" t="str">
        <x:f>IF(COUNTA(D326:J326)=0,"",D326*0.25+E326*0.10+F326*0.20+G326*0.10+(H326/5)*0.10+I326*0.15+(1-J326)*0.10)</x:f>
      </x:c>
      <x:c r="L326" t="str">
        <x:f>IF(K326="","",IF(K326&gt;=0.90,"Preferred",IF(K326&gt;=0.80,"Approved",IF(K326&gt;=0.70,"Conditional",IF(K326&gt;=0.60,"Improvement Required","Replacement Candidate")))))</x:f>
      </x:c>
    </x:row>
    <x:row r="327">
      <x:c r="C327" s="42"/>
      <x:c r="D327" s="44"/>
      <x:c r="E327" s="44"/>
      <x:c r="F327" s="44"/>
      <x:c r="G327" s="44"/>
      <x:c r="I327" s="44"/>
      <x:c r="J327" s="44"/>
      <x:c r="K327" s="44" t="str">
        <x:f>IF(COUNTA(D327:J327)=0,"",D327*0.25+E327*0.10+F327*0.20+G327*0.10+(H327/5)*0.10+I327*0.15+(1-J327)*0.10)</x:f>
      </x:c>
      <x:c r="L327" t="str">
        <x:f>IF(K327="","",IF(K327&gt;=0.90,"Preferred",IF(K327&gt;=0.80,"Approved",IF(K327&gt;=0.70,"Conditional",IF(K327&gt;=0.60,"Improvement Required","Replacement Candidate")))))</x:f>
      </x:c>
    </x:row>
    <x:row r="328">
      <x:c r="C328" s="42"/>
      <x:c r="D328" s="44"/>
      <x:c r="E328" s="44"/>
      <x:c r="F328" s="44"/>
      <x:c r="G328" s="44"/>
      <x:c r="I328" s="44"/>
      <x:c r="J328" s="44"/>
      <x:c r="K328" s="44" t="str">
        <x:f>IF(COUNTA(D328:J328)=0,"",D328*0.25+E328*0.10+F328*0.20+G328*0.10+(H328/5)*0.10+I328*0.15+(1-J328)*0.10)</x:f>
      </x:c>
      <x:c r="L328" t="str">
        <x:f>IF(K328="","",IF(K328&gt;=0.90,"Preferred",IF(K328&gt;=0.80,"Approved",IF(K328&gt;=0.70,"Conditional",IF(K328&gt;=0.60,"Improvement Required","Replacement Candidate")))))</x:f>
      </x:c>
    </x:row>
    <x:row r="329">
      <x:c r="C329" s="42"/>
      <x:c r="D329" s="44"/>
      <x:c r="E329" s="44"/>
      <x:c r="F329" s="44"/>
      <x:c r="G329" s="44"/>
      <x:c r="I329" s="44"/>
      <x:c r="J329" s="44"/>
      <x:c r="K329" s="44" t="str">
        <x:f>IF(COUNTA(D329:J329)=0,"",D329*0.25+E329*0.10+F329*0.20+G329*0.10+(H329/5)*0.10+I329*0.15+(1-J329)*0.10)</x:f>
      </x:c>
      <x:c r="L329" t="str">
        <x:f>IF(K329="","",IF(K329&gt;=0.90,"Preferred",IF(K329&gt;=0.80,"Approved",IF(K329&gt;=0.70,"Conditional",IF(K329&gt;=0.60,"Improvement Required","Replacement Candidate")))))</x:f>
      </x:c>
    </x:row>
    <x:row r="330">
      <x:c r="C330" s="42"/>
      <x:c r="D330" s="44"/>
      <x:c r="E330" s="44"/>
      <x:c r="F330" s="44"/>
      <x:c r="G330" s="44"/>
      <x:c r="I330" s="44"/>
      <x:c r="J330" s="44"/>
      <x:c r="K330" s="44" t="str">
        <x:f>IF(COUNTA(D330:J330)=0,"",D330*0.25+E330*0.10+F330*0.20+G330*0.10+(H330/5)*0.10+I330*0.15+(1-J330)*0.10)</x:f>
      </x:c>
      <x:c r="L330" t="str">
        <x:f>IF(K330="","",IF(K330&gt;=0.90,"Preferred",IF(K330&gt;=0.80,"Approved",IF(K330&gt;=0.70,"Conditional",IF(K330&gt;=0.60,"Improvement Required","Replacement Candidate")))))</x:f>
      </x:c>
    </x:row>
    <x:row r="331">
      <x:c r="C331" s="42"/>
      <x:c r="D331" s="44"/>
      <x:c r="E331" s="44"/>
      <x:c r="F331" s="44"/>
      <x:c r="G331" s="44"/>
      <x:c r="I331" s="44"/>
      <x:c r="J331" s="44"/>
      <x:c r="K331" s="44" t="str">
        <x:f>IF(COUNTA(D331:J331)=0,"",D331*0.25+E331*0.10+F331*0.20+G331*0.10+(H331/5)*0.10+I331*0.15+(1-J331)*0.10)</x:f>
      </x:c>
      <x:c r="L331" t="str">
        <x:f>IF(K331="","",IF(K331&gt;=0.90,"Preferred",IF(K331&gt;=0.80,"Approved",IF(K331&gt;=0.70,"Conditional",IF(K331&gt;=0.60,"Improvement Required","Replacement Candidate")))))</x:f>
      </x:c>
    </x:row>
    <x:row r="332">
      <x:c r="C332" s="42"/>
      <x:c r="D332" s="44"/>
      <x:c r="E332" s="44"/>
      <x:c r="F332" s="44"/>
      <x:c r="G332" s="44"/>
      <x:c r="I332" s="44"/>
      <x:c r="J332" s="44"/>
      <x:c r="K332" s="44" t="str">
        <x:f>IF(COUNTA(D332:J332)=0,"",D332*0.25+E332*0.10+F332*0.20+G332*0.10+(H332/5)*0.10+I332*0.15+(1-J332)*0.10)</x:f>
      </x:c>
      <x:c r="L332" t="str">
        <x:f>IF(K332="","",IF(K332&gt;=0.90,"Preferred",IF(K332&gt;=0.80,"Approved",IF(K332&gt;=0.70,"Conditional",IF(K332&gt;=0.60,"Improvement Required","Replacement Candidate")))))</x:f>
      </x:c>
    </x:row>
    <x:row r="333">
      <x:c r="C333" s="42"/>
      <x:c r="D333" s="44"/>
      <x:c r="E333" s="44"/>
      <x:c r="F333" s="44"/>
      <x:c r="G333" s="44"/>
      <x:c r="I333" s="44"/>
      <x:c r="J333" s="44"/>
      <x:c r="K333" s="44" t="str">
        <x:f>IF(COUNTA(D333:J333)=0,"",D333*0.25+E333*0.10+F333*0.20+G333*0.10+(H333/5)*0.10+I333*0.15+(1-J333)*0.10)</x:f>
      </x:c>
      <x:c r="L333" t="str">
        <x:f>IF(K333="","",IF(K333&gt;=0.90,"Preferred",IF(K333&gt;=0.80,"Approved",IF(K333&gt;=0.70,"Conditional",IF(K333&gt;=0.60,"Improvement Required","Replacement Candidate")))))</x:f>
      </x:c>
    </x:row>
    <x:row r="334">
      <x:c r="C334" s="42"/>
      <x:c r="D334" s="44"/>
      <x:c r="E334" s="44"/>
      <x:c r="F334" s="44"/>
      <x:c r="G334" s="44"/>
      <x:c r="I334" s="44"/>
      <x:c r="J334" s="44"/>
      <x:c r="K334" s="44" t="str">
        <x:f>IF(COUNTA(D334:J334)=0,"",D334*0.25+E334*0.10+F334*0.20+G334*0.10+(H334/5)*0.10+I334*0.15+(1-J334)*0.10)</x:f>
      </x:c>
      <x:c r="L334" t="str">
        <x:f>IF(K334="","",IF(K334&gt;=0.90,"Preferred",IF(K334&gt;=0.80,"Approved",IF(K334&gt;=0.70,"Conditional",IF(K334&gt;=0.60,"Improvement Required","Replacement Candidate")))))</x:f>
      </x:c>
    </x:row>
    <x:row r="335">
      <x:c r="C335" s="42"/>
      <x:c r="D335" s="44"/>
      <x:c r="E335" s="44"/>
      <x:c r="F335" s="44"/>
      <x:c r="G335" s="44"/>
      <x:c r="I335" s="44"/>
      <x:c r="J335" s="44"/>
      <x:c r="K335" s="44" t="str">
        <x:f>IF(COUNTA(D335:J335)=0,"",D335*0.25+E335*0.10+F335*0.20+G335*0.10+(H335/5)*0.10+I335*0.15+(1-J335)*0.10)</x:f>
      </x:c>
      <x:c r="L335" t="str">
        <x:f>IF(K335="","",IF(K335&gt;=0.90,"Preferred",IF(K335&gt;=0.80,"Approved",IF(K335&gt;=0.70,"Conditional",IF(K335&gt;=0.60,"Improvement Required","Replacement Candidate")))))</x:f>
      </x:c>
    </x:row>
    <x:row r="336">
      <x:c r="C336" s="42"/>
      <x:c r="D336" s="44"/>
      <x:c r="E336" s="44"/>
      <x:c r="F336" s="44"/>
      <x:c r="G336" s="44"/>
      <x:c r="I336" s="44"/>
      <x:c r="J336" s="44"/>
      <x:c r="K336" s="44" t="str">
        <x:f>IF(COUNTA(D336:J336)=0,"",D336*0.25+E336*0.10+F336*0.20+G336*0.10+(H336/5)*0.10+I336*0.15+(1-J336)*0.10)</x:f>
      </x:c>
      <x:c r="L336" t="str">
        <x:f>IF(K336="","",IF(K336&gt;=0.90,"Preferred",IF(K336&gt;=0.80,"Approved",IF(K336&gt;=0.70,"Conditional",IF(K336&gt;=0.60,"Improvement Required","Replacement Candidate")))))</x:f>
      </x:c>
    </x:row>
    <x:row r="337">
      <x:c r="C337" s="42"/>
      <x:c r="D337" s="44"/>
      <x:c r="E337" s="44"/>
      <x:c r="F337" s="44"/>
      <x:c r="G337" s="44"/>
      <x:c r="I337" s="44"/>
      <x:c r="J337" s="44"/>
      <x:c r="K337" s="44" t="str">
        <x:f>IF(COUNTA(D337:J337)=0,"",D337*0.25+E337*0.10+F337*0.20+G337*0.10+(H337/5)*0.10+I337*0.15+(1-J337)*0.10)</x:f>
      </x:c>
      <x:c r="L337" t="str">
        <x:f>IF(K337="","",IF(K337&gt;=0.90,"Preferred",IF(K337&gt;=0.80,"Approved",IF(K337&gt;=0.70,"Conditional",IF(K337&gt;=0.60,"Improvement Required","Replacement Candidate")))))</x:f>
      </x:c>
    </x:row>
    <x:row r="338">
      <x:c r="C338" s="42"/>
      <x:c r="D338" s="44"/>
      <x:c r="E338" s="44"/>
      <x:c r="F338" s="44"/>
      <x:c r="G338" s="44"/>
      <x:c r="I338" s="44"/>
      <x:c r="J338" s="44"/>
      <x:c r="K338" s="44" t="str">
        <x:f>IF(COUNTA(D338:J338)=0,"",D338*0.25+E338*0.10+F338*0.20+G338*0.10+(H338/5)*0.10+I338*0.15+(1-J338)*0.10)</x:f>
      </x:c>
      <x:c r="L338" t="str">
        <x:f>IF(K338="","",IF(K338&gt;=0.90,"Preferred",IF(K338&gt;=0.80,"Approved",IF(K338&gt;=0.70,"Conditional",IF(K338&gt;=0.60,"Improvement Required","Replacement Candidate")))))</x:f>
      </x:c>
    </x:row>
    <x:row r="339">
      <x:c r="C339" s="42"/>
      <x:c r="D339" s="44"/>
      <x:c r="E339" s="44"/>
      <x:c r="F339" s="44"/>
      <x:c r="G339" s="44"/>
      <x:c r="I339" s="44"/>
      <x:c r="J339" s="44"/>
      <x:c r="K339" s="44" t="str">
        <x:f>IF(COUNTA(D339:J339)=0,"",D339*0.25+E339*0.10+F339*0.20+G339*0.10+(H339/5)*0.10+I339*0.15+(1-J339)*0.10)</x:f>
      </x:c>
      <x:c r="L339" t="str">
        <x:f>IF(K339="","",IF(K339&gt;=0.90,"Preferred",IF(K339&gt;=0.80,"Approved",IF(K339&gt;=0.70,"Conditional",IF(K339&gt;=0.60,"Improvement Required","Replacement Candidate")))))</x:f>
      </x:c>
    </x:row>
    <x:row r="340">
      <x:c r="C340" s="42"/>
      <x:c r="D340" s="44"/>
      <x:c r="E340" s="44"/>
      <x:c r="F340" s="44"/>
      <x:c r="G340" s="44"/>
      <x:c r="I340" s="44"/>
      <x:c r="J340" s="44"/>
      <x:c r="K340" s="44" t="str">
        <x:f>IF(COUNTA(D340:J340)=0,"",D340*0.25+E340*0.10+F340*0.20+G340*0.10+(H340/5)*0.10+I340*0.15+(1-J340)*0.10)</x:f>
      </x:c>
      <x:c r="L340" t="str">
        <x:f>IF(K340="","",IF(K340&gt;=0.90,"Preferred",IF(K340&gt;=0.80,"Approved",IF(K340&gt;=0.70,"Conditional",IF(K340&gt;=0.60,"Improvement Required","Replacement Candidate")))))</x:f>
      </x:c>
    </x:row>
    <x:row r="341">
      <x:c r="C341" s="42"/>
      <x:c r="D341" s="44"/>
      <x:c r="E341" s="44"/>
      <x:c r="F341" s="44"/>
      <x:c r="G341" s="44"/>
      <x:c r="I341" s="44"/>
      <x:c r="J341" s="44"/>
      <x:c r="K341" s="44" t="str">
        <x:f>IF(COUNTA(D341:J341)=0,"",D341*0.25+E341*0.10+F341*0.20+G341*0.10+(H341/5)*0.10+I341*0.15+(1-J341)*0.10)</x:f>
      </x:c>
      <x:c r="L341" t="str">
        <x:f>IF(K341="","",IF(K341&gt;=0.90,"Preferred",IF(K341&gt;=0.80,"Approved",IF(K341&gt;=0.70,"Conditional",IF(K341&gt;=0.60,"Improvement Required","Replacement Candidate")))))</x:f>
      </x:c>
    </x:row>
    <x:row r="342">
      <x:c r="C342" s="42"/>
      <x:c r="D342" s="44"/>
      <x:c r="E342" s="44"/>
      <x:c r="F342" s="44"/>
      <x:c r="G342" s="44"/>
      <x:c r="I342" s="44"/>
      <x:c r="J342" s="44"/>
      <x:c r="K342" s="44" t="str">
        <x:f>IF(COUNTA(D342:J342)=0,"",D342*0.25+E342*0.10+F342*0.20+G342*0.10+(H342/5)*0.10+I342*0.15+(1-J342)*0.10)</x:f>
      </x:c>
      <x:c r="L342" t="str">
        <x:f>IF(K342="","",IF(K342&gt;=0.90,"Preferred",IF(K342&gt;=0.80,"Approved",IF(K342&gt;=0.70,"Conditional",IF(K342&gt;=0.60,"Improvement Required","Replacement Candidate")))))</x:f>
      </x:c>
    </x:row>
    <x:row r="343">
      <x:c r="C343" s="42"/>
      <x:c r="D343" s="44"/>
      <x:c r="E343" s="44"/>
      <x:c r="F343" s="44"/>
      <x:c r="G343" s="44"/>
      <x:c r="I343" s="44"/>
      <x:c r="J343" s="44"/>
      <x:c r="K343" s="44" t="str">
        <x:f>IF(COUNTA(D343:J343)=0,"",D343*0.25+E343*0.10+F343*0.20+G343*0.10+(H343/5)*0.10+I343*0.15+(1-J343)*0.10)</x:f>
      </x:c>
      <x:c r="L343" t="str">
        <x:f>IF(K343="","",IF(K343&gt;=0.90,"Preferred",IF(K343&gt;=0.80,"Approved",IF(K343&gt;=0.70,"Conditional",IF(K343&gt;=0.60,"Improvement Required","Replacement Candidate")))))</x:f>
      </x:c>
    </x:row>
    <x:row r="344">
      <x:c r="C344" s="42"/>
      <x:c r="D344" s="44"/>
      <x:c r="E344" s="44"/>
      <x:c r="F344" s="44"/>
      <x:c r="G344" s="44"/>
      <x:c r="I344" s="44"/>
      <x:c r="J344" s="44"/>
      <x:c r="K344" s="44" t="str">
        <x:f>IF(COUNTA(D344:J344)=0,"",D344*0.25+E344*0.10+F344*0.20+G344*0.10+(H344/5)*0.10+I344*0.15+(1-J344)*0.10)</x:f>
      </x:c>
      <x:c r="L344" t="str">
        <x:f>IF(K344="","",IF(K344&gt;=0.90,"Preferred",IF(K344&gt;=0.80,"Approved",IF(K344&gt;=0.70,"Conditional",IF(K344&gt;=0.60,"Improvement Required","Replacement Candidate")))))</x:f>
      </x:c>
    </x:row>
    <x:row r="345">
      <x:c r="C345" s="42"/>
      <x:c r="D345" s="44"/>
      <x:c r="E345" s="44"/>
      <x:c r="F345" s="44"/>
      <x:c r="G345" s="44"/>
      <x:c r="I345" s="44"/>
      <x:c r="J345" s="44"/>
      <x:c r="K345" s="44" t="str">
        <x:f>IF(COUNTA(D345:J345)=0,"",D345*0.25+E345*0.10+F345*0.20+G345*0.10+(H345/5)*0.10+I345*0.15+(1-J345)*0.10)</x:f>
      </x:c>
      <x:c r="L345" t="str">
        <x:f>IF(K345="","",IF(K345&gt;=0.90,"Preferred",IF(K345&gt;=0.80,"Approved",IF(K345&gt;=0.70,"Conditional",IF(K345&gt;=0.60,"Improvement Required","Replacement Candidate")))))</x:f>
      </x:c>
    </x:row>
    <x:row r="346">
      <x:c r="C346" s="42"/>
      <x:c r="D346" s="44"/>
      <x:c r="E346" s="44"/>
      <x:c r="F346" s="44"/>
      <x:c r="G346" s="44"/>
      <x:c r="I346" s="44"/>
      <x:c r="J346" s="44"/>
      <x:c r="K346" s="44" t="str">
        <x:f>IF(COUNTA(D346:J346)=0,"",D346*0.25+E346*0.10+F346*0.20+G346*0.10+(H346/5)*0.10+I346*0.15+(1-J346)*0.10)</x:f>
      </x:c>
      <x:c r="L346" t="str">
        <x:f>IF(K346="","",IF(K346&gt;=0.90,"Preferred",IF(K346&gt;=0.80,"Approved",IF(K346&gt;=0.70,"Conditional",IF(K346&gt;=0.60,"Improvement Required","Replacement Candidate")))))</x:f>
      </x:c>
    </x:row>
    <x:row r="347">
      <x:c r="C347" s="42"/>
      <x:c r="D347" s="44"/>
      <x:c r="E347" s="44"/>
      <x:c r="F347" s="44"/>
      <x:c r="G347" s="44"/>
      <x:c r="I347" s="44"/>
      <x:c r="J347" s="44"/>
      <x:c r="K347" s="44" t="str">
        <x:f>IF(COUNTA(D347:J347)=0,"",D347*0.25+E347*0.10+F347*0.20+G347*0.10+(H347/5)*0.10+I347*0.15+(1-J347)*0.10)</x:f>
      </x:c>
      <x:c r="L347" t="str">
        <x:f>IF(K347="","",IF(K347&gt;=0.90,"Preferred",IF(K347&gt;=0.80,"Approved",IF(K347&gt;=0.70,"Conditional",IF(K347&gt;=0.60,"Improvement Required","Replacement Candidate")))))</x:f>
      </x:c>
    </x:row>
    <x:row r="348">
      <x:c r="C348" s="42"/>
      <x:c r="D348" s="44"/>
      <x:c r="E348" s="44"/>
      <x:c r="F348" s="44"/>
      <x:c r="G348" s="44"/>
      <x:c r="I348" s="44"/>
      <x:c r="J348" s="44"/>
      <x:c r="K348" s="44" t="str">
        <x:f>IF(COUNTA(D348:J348)=0,"",D348*0.25+E348*0.10+F348*0.20+G348*0.10+(H348/5)*0.10+I348*0.15+(1-J348)*0.10)</x:f>
      </x:c>
      <x:c r="L348" t="str">
        <x:f>IF(K348="","",IF(K348&gt;=0.90,"Preferred",IF(K348&gt;=0.80,"Approved",IF(K348&gt;=0.70,"Conditional",IF(K348&gt;=0.60,"Improvement Required","Replacement Candidate")))))</x:f>
      </x:c>
    </x:row>
    <x:row r="349">
      <x:c r="C349" s="42"/>
      <x:c r="D349" s="44"/>
      <x:c r="E349" s="44"/>
      <x:c r="F349" s="44"/>
      <x:c r="G349" s="44"/>
      <x:c r="I349" s="44"/>
      <x:c r="J349" s="44"/>
      <x:c r="K349" s="44" t="str">
        <x:f>IF(COUNTA(D349:J349)=0,"",D349*0.25+E349*0.10+F349*0.20+G349*0.10+(H349/5)*0.10+I349*0.15+(1-J349)*0.10)</x:f>
      </x:c>
      <x:c r="L349" t="str">
        <x:f>IF(K349="","",IF(K349&gt;=0.90,"Preferred",IF(K349&gt;=0.80,"Approved",IF(K349&gt;=0.70,"Conditional",IF(K349&gt;=0.60,"Improvement Required","Replacement Candidate")))))</x:f>
      </x:c>
    </x:row>
    <x:row r="350">
      <x:c r="C350" s="42"/>
      <x:c r="D350" s="44"/>
      <x:c r="E350" s="44"/>
      <x:c r="F350" s="44"/>
      <x:c r="G350" s="44"/>
      <x:c r="I350" s="44"/>
      <x:c r="J350" s="44"/>
      <x:c r="K350" s="44" t="str">
        <x:f>IF(COUNTA(D350:J350)=0,"",D350*0.25+E350*0.10+F350*0.20+G350*0.10+(H350/5)*0.10+I350*0.15+(1-J350)*0.10)</x:f>
      </x:c>
      <x:c r="L350" t="str">
        <x:f>IF(K350="","",IF(K350&gt;=0.90,"Preferred",IF(K350&gt;=0.80,"Approved",IF(K350&gt;=0.70,"Conditional",IF(K350&gt;=0.60,"Improvement Required","Replacement Candidate")))))</x:f>
      </x:c>
    </x:row>
    <x:row r="351">
      <x:c r="C351" s="42"/>
      <x:c r="D351" s="44"/>
      <x:c r="E351" s="44"/>
      <x:c r="F351" s="44"/>
      <x:c r="G351" s="44"/>
      <x:c r="I351" s="44"/>
      <x:c r="J351" s="44"/>
      <x:c r="K351" s="44" t="str">
        <x:f>IF(COUNTA(D351:J351)=0,"",D351*0.25+E351*0.10+F351*0.20+G351*0.10+(H351/5)*0.10+I351*0.15+(1-J351)*0.10)</x:f>
      </x:c>
      <x:c r="L351" t="str">
        <x:f>IF(K351="","",IF(K351&gt;=0.90,"Preferred",IF(K351&gt;=0.80,"Approved",IF(K351&gt;=0.70,"Conditional",IF(K351&gt;=0.60,"Improvement Required","Replacement Candidate")))))</x:f>
      </x:c>
    </x:row>
    <x:row r="352">
      <x:c r="C352" s="42"/>
      <x:c r="D352" s="44"/>
      <x:c r="E352" s="44"/>
      <x:c r="F352" s="44"/>
      <x:c r="G352" s="44"/>
      <x:c r="I352" s="44"/>
      <x:c r="J352" s="44"/>
      <x:c r="K352" s="44" t="str">
        <x:f>IF(COUNTA(D352:J352)=0,"",D352*0.25+E352*0.10+F352*0.20+G352*0.10+(H352/5)*0.10+I352*0.15+(1-J352)*0.10)</x:f>
      </x:c>
      <x:c r="L352" t="str">
        <x:f>IF(K352="","",IF(K352&gt;=0.90,"Preferred",IF(K352&gt;=0.80,"Approved",IF(K352&gt;=0.70,"Conditional",IF(K352&gt;=0.60,"Improvement Required","Replacement Candidate")))))</x:f>
      </x:c>
    </x:row>
    <x:row r="353">
      <x:c r="C353" s="42"/>
      <x:c r="D353" s="44"/>
      <x:c r="E353" s="44"/>
      <x:c r="F353" s="44"/>
      <x:c r="G353" s="44"/>
      <x:c r="I353" s="44"/>
      <x:c r="J353" s="44"/>
      <x:c r="K353" s="44" t="str">
        <x:f>IF(COUNTA(D353:J353)=0,"",D353*0.25+E353*0.10+F353*0.20+G353*0.10+(H353/5)*0.10+I353*0.15+(1-J353)*0.10)</x:f>
      </x:c>
      <x:c r="L353" t="str">
        <x:f>IF(K353="","",IF(K353&gt;=0.90,"Preferred",IF(K353&gt;=0.80,"Approved",IF(K353&gt;=0.70,"Conditional",IF(K353&gt;=0.60,"Improvement Required","Replacement Candidate")))))</x:f>
      </x:c>
    </x:row>
    <x:row r="354">
      <x:c r="C354" s="42"/>
      <x:c r="D354" s="44"/>
      <x:c r="E354" s="44"/>
      <x:c r="F354" s="44"/>
      <x:c r="G354" s="44"/>
      <x:c r="I354" s="44"/>
      <x:c r="J354" s="44"/>
      <x:c r="K354" s="44" t="str">
        <x:f>IF(COUNTA(D354:J354)=0,"",D354*0.25+E354*0.10+F354*0.20+G354*0.10+(H354/5)*0.10+I354*0.15+(1-J354)*0.10)</x:f>
      </x:c>
      <x:c r="L354" t="str">
        <x:f>IF(K354="","",IF(K354&gt;=0.90,"Preferred",IF(K354&gt;=0.80,"Approved",IF(K354&gt;=0.70,"Conditional",IF(K354&gt;=0.60,"Improvement Required","Replacement Candidate")))))</x:f>
      </x:c>
    </x:row>
    <x:row r="355">
      <x:c r="C355" s="42"/>
      <x:c r="D355" s="44"/>
      <x:c r="E355" s="44"/>
      <x:c r="F355" s="44"/>
      <x:c r="G355" s="44"/>
      <x:c r="I355" s="44"/>
      <x:c r="J355" s="44"/>
      <x:c r="K355" s="44" t="str">
        <x:f>IF(COUNTA(D355:J355)=0,"",D355*0.25+E355*0.10+F355*0.20+G355*0.10+(H355/5)*0.10+I355*0.15+(1-J355)*0.10)</x:f>
      </x:c>
      <x:c r="L355" t="str">
        <x:f>IF(K355="","",IF(K355&gt;=0.90,"Preferred",IF(K355&gt;=0.80,"Approved",IF(K355&gt;=0.70,"Conditional",IF(K355&gt;=0.60,"Improvement Required","Replacement Candidate")))))</x:f>
      </x:c>
    </x:row>
    <x:row r="356">
      <x:c r="C356" s="42"/>
      <x:c r="D356" s="44"/>
      <x:c r="E356" s="44"/>
      <x:c r="F356" s="44"/>
      <x:c r="G356" s="44"/>
      <x:c r="I356" s="44"/>
      <x:c r="J356" s="44"/>
      <x:c r="K356" s="44" t="str">
        <x:f>IF(COUNTA(D356:J356)=0,"",D356*0.25+E356*0.10+F356*0.20+G356*0.10+(H356/5)*0.10+I356*0.15+(1-J356)*0.10)</x:f>
      </x:c>
      <x:c r="L356" t="str">
        <x:f>IF(K356="","",IF(K356&gt;=0.90,"Preferred",IF(K356&gt;=0.80,"Approved",IF(K356&gt;=0.70,"Conditional",IF(K356&gt;=0.60,"Improvement Required","Replacement Candidate")))))</x:f>
      </x:c>
    </x:row>
    <x:row r="357">
      <x:c r="C357" s="42"/>
      <x:c r="D357" s="44"/>
      <x:c r="E357" s="44"/>
      <x:c r="F357" s="44"/>
      <x:c r="G357" s="44"/>
      <x:c r="I357" s="44"/>
      <x:c r="J357" s="44"/>
      <x:c r="K357" s="44" t="str">
        <x:f>IF(COUNTA(D357:J357)=0,"",D357*0.25+E357*0.10+F357*0.20+G357*0.10+(H357/5)*0.10+I357*0.15+(1-J357)*0.10)</x:f>
      </x:c>
      <x:c r="L357" t="str">
        <x:f>IF(K357="","",IF(K357&gt;=0.90,"Preferred",IF(K357&gt;=0.80,"Approved",IF(K357&gt;=0.70,"Conditional",IF(K357&gt;=0.60,"Improvement Required","Replacement Candidate")))))</x:f>
      </x:c>
    </x:row>
    <x:row r="358">
      <x:c r="C358" s="42"/>
      <x:c r="D358" s="44"/>
      <x:c r="E358" s="44"/>
      <x:c r="F358" s="44"/>
      <x:c r="G358" s="44"/>
      <x:c r="I358" s="44"/>
      <x:c r="J358" s="44"/>
      <x:c r="K358" s="44" t="str">
        <x:f>IF(COUNTA(D358:J358)=0,"",D358*0.25+E358*0.10+F358*0.20+G358*0.10+(H358/5)*0.10+I358*0.15+(1-J358)*0.10)</x:f>
      </x:c>
      <x:c r="L358" t="str">
        <x:f>IF(K358="","",IF(K358&gt;=0.90,"Preferred",IF(K358&gt;=0.80,"Approved",IF(K358&gt;=0.70,"Conditional",IF(K358&gt;=0.60,"Improvement Required","Replacement Candidate")))))</x:f>
      </x:c>
    </x:row>
    <x:row r="359">
      <x:c r="C359" s="42"/>
      <x:c r="D359" s="44"/>
      <x:c r="E359" s="44"/>
      <x:c r="F359" s="44"/>
      <x:c r="G359" s="44"/>
      <x:c r="I359" s="44"/>
      <x:c r="J359" s="44"/>
      <x:c r="K359" s="44" t="str">
        <x:f>IF(COUNTA(D359:J359)=0,"",D359*0.25+E359*0.10+F359*0.20+G359*0.10+(H359/5)*0.10+I359*0.15+(1-J359)*0.10)</x:f>
      </x:c>
      <x:c r="L359" t="str">
        <x:f>IF(K359="","",IF(K359&gt;=0.90,"Preferred",IF(K359&gt;=0.80,"Approved",IF(K359&gt;=0.70,"Conditional",IF(K359&gt;=0.60,"Improvement Required","Replacement Candidate")))))</x:f>
      </x:c>
    </x:row>
    <x:row r="360">
      <x:c r="C360" s="42"/>
      <x:c r="D360" s="44"/>
      <x:c r="E360" s="44"/>
      <x:c r="F360" s="44"/>
      <x:c r="G360" s="44"/>
      <x:c r="I360" s="44"/>
      <x:c r="J360" s="44"/>
      <x:c r="K360" s="44" t="str">
        <x:f>IF(COUNTA(D360:J360)=0,"",D360*0.25+E360*0.10+F360*0.20+G360*0.10+(H360/5)*0.10+I360*0.15+(1-J360)*0.10)</x:f>
      </x:c>
      <x:c r="L360" t="str">
        <x:f>IF(K360="","",IF(K360&gt;=0.90,"Preferred",IF(K360&gt;=0.80,"Approved",IF(K360&gt;=0.70,"Conditional",IF(K360&gt;=0.60,"Improvement Required","Replacement Candidate")))))</x:f>
      </x:c>
    </x:row>
    <x:row r="361">
      <x:c r="C361" s="42"/>
      <x:c r="D361" s="44"/>
      <x:c r="E361" s="44"/>
      <x:c r="F361" s="44"/>
      <x:c r="G361" s="44"/>
      <x:c r="I361" s="44"/>
      <x:c r="J361" s="44"/>
      <x:c r="K361" s="44" t="str">
        <x:f>IF(COUNTA(D361:J361)=0,"",D361*0.25+E361*0.10+F361*0.20+G361*0.10+(H361/5)*0.10+I361*0.15+(1-J361)*0.10)</x:f>
      </x:c>
      <x:c r="L361" t="str">
        <x:f>IF(K361="","",IF(K361&gt;=0.90,"Preferred",IF(K361&gt;=0.80,"Approved",IF(K361&gt;=0.70,"Conditional",IF(K361&gt;=0.60,"Improvement Required","Replacement Candidate")))))</x:f>
      </x:c>
    </x:row>
    <x:row r="362">
      <x:c r="C362" s="42"/>
      <x:c r="D362" s="44"/>
      <x:c r="E362" s="44"/>
      <x:c r="F362" s="44"/>
      <x:c r="G362" s="44"/>
      <x:c r="I362" s="44"/>
      <x:c r="J362" s="44"/>
      <x:c r="K362" s="44" t="str">
        <x:f>IF(COUNTA(D362:J362)=0,"",D362*0.25+E362*0.10+F362*0.20+G362*0.10+(H362/5)*0.10+I362*0.15+(1-J362)*0.10)</x:f>
      </x:c>
      <x:c r="L362" t="str">
        <x:f>IF(K362="","",IF(K362&gt;=0.90,"Preferred",IF(K362&gt;=0.80,"Approved",IF(K362&gt;=0.70,"Conditional",IF(K362&gt;=0.60,"Improvement Required","Replacement Candidate")))))</x:f>
      </x:c>
    </x:row>
    <x:row r="363">
      <x:c r="C363" s="42"/>
      <x:c r="D363" s="44"/>
      <x:c r="E363" s="44"/>
      <x:c r="F363" s="44"/>
      <x:c r="G363" s="44"/>
      <x:c r="I363" s="44"/>
      <x:c r="J363" s="44"/>
      <x:c r="K363" s="44" t="str">
        <x:f>IF(COUNTA(D363:J363)=0,"",D363*0.25+E363*0.10+F363*0.20+G363*0.10+(H363/5)*0.10+I363*0.15+(1-J363)*0.10)</x:f>
      </x:c>
      <x:c r="L363" t="str">
        <x:f>IF(K363="","",IF(K363&gt;=0.90,"Preferred",IF(K363&gt;=0.80,"Approved",IF(K363&gt;=0.70,"Conditional",IF(K363&gt;=0.60,"Improvement Required","Replacement Candidate")))))</x:f>
      </x:c>
    </x:row>
    <x:row r="364">
      <x:c r="C364" s="42"/>
      <x:c r="D364" s="44"/>
      <x:c r="E364" s="44"/>
      <x:c r="F364" s="44"/>
      <x:c r="G364" s="44"/>
      <x:c r="I364" s="44"/>
      <x:c r="J364" s="44"/>
      <x:c r="K364" s="44" t="str">
        <x:f>IF(COUNTA(D364:J364)=0,"",D364*0.25+E364*0.10+F364*0.20+G364*0.10+(H364/5)*0.10+I364*0.15+(1-J364)*0.10)</x:f>
      </x:c>
      <x:c r="L364" t="str">
        <x:f>IF(K364="","",IF(K364&gt;=0.90,"Preferred",IF(K364&gt;=0.80,"Approved",IF(K364&gt;=0.70,"Conditional",IF(K364&gt;=0.60,"Improvement Required","Replacement Candidate")))))</x:f>
      </x:c>
    </x:row>
    <x:row r="365">
      <x:c r="C365" s="42"/>
      <x:c r="D365" s="44"/>
      <x:c r="E365" s="44"/>
      <x:c r="F365" s="44"/>
      <x:c r="G365" s="44"/>
      <x:c r="I365" s="44"/>
      <x:c r="J365" s="44"/>
      <x:c r="K365" s="44" t="str">
        <x:f>IF(COUNTA(D365:J365)=0,"",D365*0.25+E365*0.10+F365*0.20+G365*0.10+(H365/5)*0.10+I365*0.15+(1-J365)*0.10)</x:f>
      </x:c>
      <x:c r="L365" t="str">
        <x:f>IF(K365="","",IF(K365&gt;=0.90,"Preferred",IF(K365&gt;=0.80,"Approved",IF(K365&gt;=0.70,"Conditional",IF(K365&gt;=0.60,"Improvement Required","Replacement Candidate")))))</x:f>
      </x:c>
    </x:row>
    <x:row r="366">
      <x:c r="C366" s="42"/>
      <x:c r="D366" s="44"/>
      <x:c r="E366" s="44"/>
      <x:c r="F366" s="44"/>
      <x:c r="G366" s="44"/>
      <x:c r="I366" s="44"/>
      <x:c r="J366" s="44"/>
      <x:c r="K366" s="44" t="str">
        <x:f>IF(COUNTA(D366:J366)=0,"",D366*0.25+E366*0.10+F366*0.20+G366*0.10+(H366/5)*0.10+I366*0.15+(1-J366)*0.10)</x:f>
      </x:c>
      <x:c r="L366" t="str">
        <x:f>IF(K366="","",IF(K366&gt;=0.90,"Preferred",IF(K366&gt;=0.80,"Approved",IF(K366&gt;=0.70,"Conditional",IF(K366&gt;=0.60,"Improvement Required","Replacement Candidate")))))</x:f>
      </x:c>
    </x:row>
    <x:row r="367">
      <x:c r="C367" s="42"/>
      <x:c r="D367" s="44"/>
      <x:c r="E367" s="44"/>
      <x:c r="F367" s="44"/>
      <x:c r="G367" s="44"/>
      <x:c r="I367" s="44"/>
      <x:c r="J367" s="44"/>
      <x:c r="K367" s="44" t="str">
        <x:f>IF(COUNTA(D367:J367)=0,"",D367*0.25+E367*0.10+F367*0.20+G367*0.10+(H367/5)*0.10+I367*0.15+(1-J367)*0.10)</x:f>
      </x:c>
      <x:c r="L367" t="str">
        <x:f>IF(K367="","",IF(K367&gt;=0.90,"Preferred",IF(K367&gt;=0.80,"Approved",IF(K367&gt;=0.70,"Conditional",IF(K367&gt;=0.60,"Improvement Required","Replacement Candidate")))))</x:f>
      </x:c>
    </x:row>
    <x:row r="368">
      <x:c r="C368" s="42"/>
      <x:c r="D368" s="44"/>
      <x:c r="E368" s="44"/>
      <x:c r="F368" s="44"/>
      <x:c r="G368" s="44"/>
      <x:c r="I368" s="44"/>
      <x:c r="J368" s="44"/>
      <x:c r="K368" s="44" t="str">
        <x:f>IF(COUNTA(D368:J368)=0,"",D368*0.25+E368*0.10+F368*0.20+G368*0.10+(H368/5)*0.10+I368*0.15+(1-J368)*0.10)</x:f>
      </x:c>
      <x:c r="L368" t="str">
        <x:f>IF(K368="","",IF(K368&gt;=0.90,"Preferred",IF(K368&gt;=0.80,"Approved",IF(K368&gt;=0.70,"Conditional",IF(K368&gt;=0.60,"Improvement Required","Replacement Candidate")))))</x:f>
      </x:c>
    </x:row>
    <x:row r="369">
      <x:c r="C369" s="42"/>
      <x:c r="D369" s="44"/>
      <x:c r="E369" s="44"/>
      <x:c r="F369" s="44"/>
      <x:c r="G369" s="44"/>
      <x:c r="I369" s="44"/>
      <x:c r="J369" s="44"/>
      <x:c r="K369" s="44" t="str">
        <x:f>IF(COUNTA(D369:J369)=0,"",D369*0.25+E369*0.10+F369*0.20+G369*0.10+(H369/5)*0.10+I369*0.15+(1-J369)*0.10)</x:f>
      </x:c>
      <x:c r="L369" t="str">
        <x:f>IF(K369="","",IF(K369&gt;=0.90,"Preferred",IF(K369&gt;=0.80,"Approved",IF(K369&gt;=0.70,"Conditional",IF(K369&gt;=0.60,"Improvement Required","Replacement Candidate")))))</x:f>
      </x:c>
    </x:row>
    <x:row r="370">
      <x:c r="C370" s="42"/>
      <x:c r="D370" s="44"/>
      <x:c r="E370" s="44"/>
      <x:c r="F370" s="44"/>
      <x:c r="G370" s="44"/>
      <x:c r="I370" s="44"/>
      <x:c r="J370" s="44"/>
      <x:c r="K370" s="44" t="str">
        <x:f>IF(COUNTA(D370:J370)=0,"",D370*0.25+E370*0.10+F370*0.20+G370*0.10+(H370/5)*0.10+I370*0.15+(1-J370)*0.10)</x:f>
      </x:c>
      <x:c r="L370" t="str">
        <x:f>IF(K370="","",IF(K370&gt;=0.90,"Preferred",IF(K370&gt;=0.80,"Approved",IF(K370&gt;=0.70,"Conditional",IF(K370&gt;=0.60,"Improvement Required","Replacement Candidate")))))</x:f>
      </x:c>
    </x:row>
    <x:row r="371">
      <x:c r="C371" s="42"/>
      <x:c r="D371" s="44"/>
      <x:c r="E371" s="44"/>
      <x:c r="F371" s="44"/>
      <x:c r="G371" s="44"/>
      <x:c r="I371" s="44"/>
      <x:c r="J371" s="44"/>
      <x:c r="K371" s="44" t="str">
        <x:f>IF(COUNTA(D371:J371)=0,"",D371*0.25+E371*0.10+F371*0.20+G371*0.10+(H371/5)*0.10+I371*0.15+(1-J371)*0.10)</x:f>
      </x:c>
      <x:c r="L371" t="str">
        <x:f>IF(K371="","",IF(K371&gt;=0.90,"Preferred",IF(K371&gt;=0.80,"Approved",IF(K371&gt;=0.70,"Conditional",IF(K371&gt;=0.60,"Improvement Required","Replacement Candidate")))))</x:f>
      </x:c>
    </x:row>
    <x:row r="372">
      <x:c r="C372" s="42"/>
      <x:c r="D372" s="44"/>
      <x:c r="E372" s="44"/>
      <x:c r="F372" s="44"/>
      <x:c r="G372" s="44"/>
      <x:c r="I372" s="44"/>
      <x:c r="J372" s="44"/>
      <x:c r="K372" s="44" t="str">
        <x:f>IF(COUNTA(D372:J372)=0,"",D372*0.25+E372*0.10+F372*0.20+G372*0.10+(H372/5)*0.10+I372*0.15+(1-J372)*0.10)</x:f>
      </x:c>
      <x:c r="L372" t="str">
        <x:f>IF(K372="","",IF(K372&gt;=0.90,"Preferred",IF(K372&gt;=0.80,"Approved",IF(K372&gt;=0.70,"Conditional",IF(K372&gt;=0.60,"Improvement Required","Replacement Candidate")))))</x:f>
      </x:c>
    </x:row>
    <x:row r="373">
      <x:c r="C373" s="42"/>
      <x:c r="D373" s="44"/>
      <x:c r="E373" s="44"/>
      <x:c r="F373" s="44"/>
      <x:c r="G373" s="44"/>
      <x:c r="I373" s="44"/>
      <x:c r="J373" s="44"/>
      <x:c r="K373" s="44" t="str">
        <x:f>IF(COUNTA(D373:J373)=0,"",D373*0.25+E373*0.10+F373*0.20+G373*0.10+(H373/5)*0.10+I373*0.15+(1-J373)*0.10)</x:f>
      </x:c>
      <x:c r="L373" t="str">
        <x:f>IF(K373="","",IF(K373&gt;=0.90,"Preferred",IF(K373&gt;=0.80,"Approved",IF(K373&gt;=0.70,"Conditional",IF(K373&gt;=0.60,"Improvement Required","Replacement Candidate")))))</x:f>
      </x:c>
    </x:row>
    <x:row r="374">
      <x:c r="C374" s="42"/>
      <x:c r="D374" s="44"/>
      <x:c r="E374" s="44"/>
      <x:c r="F374" s="44"/>
      <x:c r="G374" s="44"/>
      <x:c r="I374" s="44"/>
      <x:c r="J374" s="44"/>
      <x:c r="K374" s="44" t="str">
        <x:f>IF(COUNTA(D374:J374)=0,"",D374*0.25+E374*0.10+F374*0.20+G374*0.10+(H374/5)*0.10+I374*0.15+(1-J374)*0.10)</x:f>
      </x:c>
      <x:c r="L374" t="str">
        <x:f>IF(K374="","",IF(K374&gt;=0.90,"Preferred",IF(K374&gt;=0.80,"Approved",IF(K374&gt;=0.70,"Conditional",IF(K374&gt;=0.60,"Improvement Required","Replacement Candidate")))))</x:f>
      </x:c>
    </x:row>
    <x:row r="375">
      <x:c r="C375" s="42"/>
      <x:c r="D375" s="44"/>
      <x:c r="E375" s="44"/>
      <x:c r="F375" s="44"/>
      <x:c r="G375" s="44"/>
      <x:c r="I375" s="44"/>
      <x:c r="J375" s="44"/>
      <x:c r="K375" s="44" t="str">
        <x:f>IF(COUNTA(D375:J375)=0,"",D375*0.25+E375*0.10+F375*0.20+G375*0.10+(H375/5)*0.10+I375*0.15+(1-J375)*0.10)</x:f>
      </x:c>
      <x:c r="L375" t="str">
        <x:f>IF(K375="","",IF(K375&gt;=0.90,"Preferred",IF(K375&gt;=0.80,"Approved",IF(K375&gt;=0.70,"Conditional",IF(K375&gt;=0.60,"Improvement Required","Replacement Candidate")))))</x:f>
      </x:c>
    </x:row>
    <x:row r="376">
      <x:c r="C376" s="42"/>
      <x:c r="D376" s="44"/>
      <x:c r="E376" s="44"/>
      <x:c r="F376" s="44"/>
      <x:c r="G376" s="44"/>
      <x:c r="I376" s="44"/>
      <x:c r="J376" s="44"/>
      <x:c r="K376" s="44" t="str">
        <x:f>IF(COUNTA(D376:J376)=0,"",D376*0.25+E376*0.10+F376*0.20+G376*0.10+(H376/5)*0.10+I376*0.15+(1-J376)*0.10)</x:f>
      </x:c>
      <x:c r="L376" t="str">
        <x:f>IF(K376="","",IF(K376&gt;=0.90,"Preferred",IF(K376&gt;=0.80,"Approved",IF(K376&gt;=0.70,"Conditional",IF(K376&gt;=0.60,"Improvement Required","Replacement Candidate")))))</x:f>
      </x:c>
    </x:row>
    <x:row r="377">
      <x:c r="C377" s="42"/>
      <x:c r="D377" s="44"/>
      <x:c r="E377" s="44"/>
      <x:c r="F377" s="44"/>
      <x:c r="G377" s="44"/>
      <x:c r="I377" s="44"/>
      <x:c r="J377" s="44"/>
      <x:c r="K377" s="44" t="str">
        <x:f>IF(COUNTA(D377:J377)=0,"",D377*0.25+E377*0.10+F377*0.20+G377*0.10+(H377/5)*0.10+I377*0.15+(1-J377)*0.10)</x:f>
      </x:c>
      <x:c r="L377" t="str">
        <x:f>IF(K377="","",IF(K377&gt;=0.90,"Preferred",IF(K377&gt;=0.80,"Approved",IF(K377&gt;=0.70,"Conditional",IF(K377&gt;=0.60,"Improvement Required","Replacement Candidate")))))</x:f>
      </x:c>
    </x:row>
    <x:row r="378">
      <x:c r="C378" s="42"/>
      <x:c r="D378" s="44"/>
      <x:c r="E378" s="44"/>
      <x:c r="F378" s="44"/>
      <x:c r="G378" s="44"/>
      <x:c r="I378" s="44"/>
      <x:c r="J378" s="44"/>
      <x:c r="K378" s="44" t="str">
        <x:f>IF(COUNTA(D378:J378)=0,"",D378*0.25+E378*0.10+F378*0.20+G378*0.10+(H378/5)*0.10+I378*0.15+(1-J378)*0.10)</x:f>
      </x:c>
      <x:c r="L378" t="str">
        <x:f>IF(K378="","",IF(K378&gt;=0.90,"Preferred",IF(K378&gt;=0.80,"Approved",IF(K378&gt;=0.70,"Conditional",IF(K378&gt;=0.60,"Improvement Required","Replacement Candidate")))))</x:f>
      </x:c>
    </x:row>
    <x:row r="379">
      <x:c r="C379" s="42"/>
      <x:c r="D379" s="44"/>
      <x:c r="E379" s="44"/>
      <x:c r="F379" s="44"/>
      <x:c r="G379" s="44"/>
      <x:c r="I379" s="44"/>
      <x:c r="J379" s="44"/>
      <x:c r="K379" s="44" t="str">
        <x:f>IF(COUNTA(D379:J379)=0,"",D379*0.25+E379*0.10+F379*0.20+G379*0.10+(H379/5)*0.10+I379*0.15+(1-J379)*0.10)</x:f>
      </x:c>
      <x:c r="L379" t="str">
        <x:f>IF(K379="","",IF(K379&gt;=0.90,"Preferred",IF(K379&gt;=0.80,"Approved",IF(K379&gt;=0.70,"Conditional",IF(K379&gt;=0.60,"Improvement Required","Replacement Candidate")))))</x:f>
      </x:c>
    </x:row>
    <x:row r="380">
      <x:c r="C380" s="42"/>
      <x:c r="D380" s="44"/>
      <x:c r="E380" s="44"/>
      <x:c r="F380" s="44"/>
      <x:c r="G380" s="44"/>
      <x:c r="I380" s="44"/>
      <x:c r="J380" s="44"/>
      <x:c r="K380" s="44" t="str">
        <x:f>IF(COUNTA(D380:J380)=0,"",D380*0.25+E380*0.10+F380*0.20+G380*0.10+(H380/5)*0.10+I380*0.15+(1-J380)*0.10)</x:f>
      </x:c>
      <x:c r="L380" t="str">
        <x:f>IF(K380="","",IF(K380&gt;=0.90,"Preferred",IF(K380&gt;=0.80,"Approved",IF(K380&gt;=0.70,"Conditional",IF(K380&gt;=0.60,"Improvement Required","Replacement Candidate")))))</x:f>
      </x:c>
    </x:row>
    <x:row r="381">
      <x:c r="C381" s="42"/>
      <x:c r="D381" s="44"/>
      <x:c r="E381" s="44"/>
      <x:c r="F381" s="44"/>
      <x:c r="G381" s="44"/>
      <x:c r="I381" s="44"/>
      <x:c r="J381" s="44"/>
      <x:c r="K381" s="44" t="str">
        <x:f>IF(COUNTA(D381:J381)=0,"",D381*0.25+E381*0.10+F381*0.20+G381*0.10+(H381/5)*0.10+I381*0.15+(1-J381)*0.10)</x:f>
      </x:c>
      <x:c r="L381" t="str">
        <x:f>IF(K381="","",IF(K381&gt;=0.90,"Preferred",IF(K381&gt;=0.80,"Approved",IF(K381&gt;=0.70,"Conditional",IF(K381&gt;=0.60,"Improvement Required","Replacement Candidate")))))</x:f>
      </x:c>
    </x:row>
    <x:row r="382">
      <x:c r="C382" s="42"/>
      <x:c r="D382" s="44"/>
      <x:c r="E382" s="44"/>
      <x:c r="F382" s="44"/>
      <x:c r="G382" s="44"/>
      <x:c r="I382" s="44"/>
      <x:c r="J382" s="44"/>
      <x:c r="K382" s="44" t="str">
        <x:f>IF(COUNTA(D382:J382)=0,"",D382*0.25+E382*0.10+F382*0.20+G382*0.10+(H382/5)*0.10+I382*0.15+(1-J382)*0.10)</x:f>
      </x:c>
      <x:c r="L382" t="str">
        <x:f>IF(K382="","",IF(K382&gt;=0.90,"Preferred",IF(K382&gt;=0.80,"Approved",IF(K382&gt;=0.70,"Conditional",IF(K382&gt;=0.60,"Improvement Required","Replacement Candidate")))))</x:f>
      </x:c>
    </x:row>
    <x:row r="383">
      <x:c r="C383" s="42"/>
      <x:c r="D383" s="44"/>
      <x:c r="E383" s="44"/>
      <x:c r="F383" s="44"/>
      <x:c r="G383" s="44"/>
      <x:c r="I383" s="44"/>
      <x:c r="J383" s="44"/>
      <x:c r="K383" s="44" t="str">
        <x:f>IF(COUNTA(D383:J383)=0,"",D383*0.25+E383*0.10+F383*0.20+G383*0.10+(H383/5)*0.10+I383*0.15+(1-J383)*0.10)</x:f>
      </x:c>
      <x:c r="L383" t="str">
        <x:f>IF(K383="","",IF(K383&gt;=0.90,"Preferred",IF(K383&gt;=0.80,"Approved",IF(K383&gt;=0.70,"Conditional",IF(K383&gt;=0.60,"Improvement Required","Replacement Candidate")))))</x:f>
      </x:c>
    </x:row>
    <x:row r="384">
      <x:c r="C384" s="42"/>
      <x:c r="D384" s="44"/>
      <x:c r="E384" s="44"/>
      <x:c r="F384" s="44"/>
      <x:c r="G384" s="44"/>
      <x:c r="I384" s="44"/>
      <x:c r="J384" s="44"/>
      <x:c r="K384" s="44" t="str">
        <x:f>IF(COUNTA(D384:J384)=0,"",D384*0.25+E384*0.10+F384*0.20+G384*0.10+(H384/5)*0.10+I384*0.15+(1-J384)*0.10)</x:f>
      </x:c>
      <x:c r="L384" t="str">
        <x:f>IF(K384="","",IF(K384&gt;=0.90,"Preferred",IF(K384&gt;=0.80,"Approved",IF(K384&gt;=0.70,"Conditional",IF(K384&gt;=0.60,"Improvement Required","Replacement Candidate")))))</x:f>
      </x:c>
    </x:row>
    <x:row r="385">
      <x:c r="C385" s="42"/>
      <x:c r="D385" s="44"/>
      <x:c r="E385" s="44"/>
      <x:c r="F385" s="44"/>
      <x:c r="G385" s="44"/>
      <x:c r="I385" s="44"/>
      <x:c r="J385" s="44"/>
      <x:c r="K385" s="44" t="str">
        <x:f>IF(COUNTA(D385:J385)=0,"",D385*0.25+E385*0.10+F385*0.20+G385*0.10+(H385/5)*0.10+I385*0.15+(1-J385)*0.10)</x:f>
      </x:c>
      <x:c r="L385" t="str">
        <x:f>IF(K385="","",IF(K385&gt;=0.90,"Preferred",IF(K385&gt;=0.80,"Approved",IF(K385&gt;=0.70,"Conditional",IF(K385&gt;=0.60,"Improvement Required","Replacement Candidate")))))</x:f>
      </x:c>
    </x:row>
    <x:row r="386">
      <x:c r="C386" s="42"/>
      <x:c r="D386" s="44"/>
      <x:c r="E386" s="44"/>
      <x:c r="F386" s="44"/>
      <x:c r="G386" s="44"/>
      <x:c r="I386" s="44"/>
      <x:c r="J386" s="44"/>
      <x:c r="K386" s="44" t="str">
        <x:f>IF(COUNTA(D386:J386)=0,"",D386*0.25+E386*0.10+F386*0.20+G386*0.10+(H386/5)*0.10+I386*0.15+(1-J386)*0.10)</x:f>
      </x:c>
      <x:c r="L386" t="str">
        <x:f>IF(K386="","",IF(K386&gt;=0.90,"Preferred",IF(K386&gt;=0.80,"Approved",IF(K386&gt;=0.70,"Conditional",IF(K386&gt;=0.60,"Improvement Required","Replacement Candidate")))))</x:f>
      </x:c>
    </x:row>
    <x:row r="387">
      <x:c r="C387" s="42"/>
      <x:c r="D387" s="44"/>
      <x:c r="E387" s="44"/>
      <x:c r="F387" s="44"/>
      <x:c r="G387" s="44"/>
      <x:c r="I387" s="44"/>
      <x:c r="J387" s="44"/>
      <x:c r="K387" s="44" t="str">
        <x:f>IF(COUNTA(D387:J387)=0,"",D387*0.25+E387*0.10+F387*0.20+G387*0.10+(H387/5)*0.10+I387*0.15+(1-J387)*0.10)</x:f>
      </x:c>
      <x:c r="L387" t="str">
        <x:f>IF(K387="","",IF(K387&gt;=0.90,"Preferred",IF(K387&gt;=0.80,"Approved",IF(K387&gt;=0.70,"Conditional",IF(K387&gt;=0.60,"Improvement Required","Replacement Candidate")))))</x:f>
      </x:c>
    </x:row>
    <x:row r="388">
      <x:c r="C388" s="42"/>
      <x:c r="D388" s="44"/>
      <x:c r="E388" s="44"/>
      <x:c r="F388" s="44"/>
      <x:c r="G388" s="44"/>
      <x:c r="I388" s="44"/>
      <x:c r="J388" s="44"/>
      <x:c r="K388" s="44" t="str">
        <x:f>IF(COUNTA(D388:J388)=0,"",D388*0.25+E388*0.10+F388*0.20+G388*0.10+(H388/5)*0.10+I388*0.15+(1-J388)*0.10)</x:f>
      </x:c>
      <x:c r="L388" t="str">
        <x:f>IF(K388="","",IF(K388&gt;=0.90,"Preferred",IF(K388&gt;=0.80,"Approved",IF(K388&gt;=0.70,"Conditional",IF(K388&gt;=0.60,"Improvement Required","Replacement Candidate")))))</x:f>
      </x:c>
    </x:row>
    <x:row r="389">
      <x:c r="C389" s="42"/>
      <x:c r="D389" s="44"/>
      <x:c r="E389" s="44"/>
      <x:c r="F389" s="44"/>
      <x:c r="G389" s="44"/>
      <x:c r="I389" s="44"/>
      <x:c r="J389" s="44"/>
      <x:c r="K389" s="44" t="str">
        <x:f>IF(COUNTA(D389:J389)=0,"",D389*0.25+E389*0.10+F389*0.20+G389*0.10+(H389/5)*0.10+I389*0.15+(1-J389)*0.10)</x:f>
      </x:c>
      <x:c r="L389" t="str">
        <x:f>IF(K389="","",IF(K389&gt;=0.90,"Preferred",IF(K389&gt;=0.80,"Approved",IF(K389&gt;=0.70,"Conditional",IF(K389&gt;=0.60,"Improvement Required","Replacement Candidate")))))</x:f>
      </x:c>
    </x:row>
    <x:row r="390">
      <x:c r="C390" s="42"/>
      <x:c r="D390" s="44"/>
      <x:c r="E390" s="44"/>
      <x:c r="F390" s="44"/>
      <x:c r="G390" s="44"/>
      <x:c r="I390" s="44"/>
      <x:c r="J390" s="44"/>
      <x:c r="K390" s="44" t="str">
        <x:f>IF(COUNTA(D390:J390)=0,"",D390*0.25+E390*0.10+F390*0.20+G390*0.10+(H390/5)*0.10+I390*0.15+(1-J390)*0.10)</x:f>
      </x:c>
      <x:c r="L390" t="str">
        <x:f>IF(K390="","",IF(K390&gt;=0.90,"Preferred",IF(K390&gt;=0.80,"Approved",IF(K390&gt;=0.70,"Conditional",IF(K390&gt;=0.60,"Improvement Required","Replacement Candidate")))))</x:f>
      </x:c>
    </x:row>
    <x:row r="391">
      <x:c r="C391" s="42"/>
      <x:c r="D391" s="44"/>
      <x:c r="E391" s="44"/>
      <x:c r="F391" s="44"/>
      <x:c r="G391" s="44"/>
      <x:c r="I391" s="44"/>
      <x:c r="J391" s="44"/>
      <x:c r="K391" s="44" t="str">
        <x:f>IF(COUNTA(D391:J391)=0,"",D391*0.25+E391*0.10+F391*0.20+G391*0.10+(H391/5)*0.10+I391*0.15+(1-J391)*0.10)</x:f>
      </x:c>
      <x:c r="L391" t="str">
        <x:f>IF(K391="","",IF(K391&gt;=0.90,"Preferred",IF(K391&gt;=0.80,"Approved",IF(K391&gt;=0.70,"Conditional",IF(K391&gt;=0.60,"Improvement Required","Replacement Candidate")))))</x:f>
      </x:c>
    </x:row>
    <x:row r="392">
      <x:c r="C392" s="42"/>
      <x:c r="D392" s="44"/>
      <x:c r="E392" s="44"/>
      <x:c r="F392" s="44"/>
      <x:c r="G392" s="44"/>
      <x:c r="I392" s="44"/>
      <x:c r="J392" s="44"/>
      <x:c r="K392" s="44" t="str">
        <x:f>IF(COUNTA(D392:J392)=0,"",D392*0.25+E392*0.10+F392*0.20+G392*0.10+(H392/5)*0.10+I392*0.15+(1-J392)*0.10)</x:f>
      </x:c>
      <x:c r="L392" t="str">
        <x:f>IF(K392="","",IF(K392&gt;=0.90,"Preferred",IF(K392&gt;=0.80,"Approved",IF(K392&gt;=0.70,"Conditional",IF(K392&gt;=0.60,"Improvement Required","Replacement Candidate")))))</x:f>
      </x:c>
    </x:row>
    <x:row r="393">
      <x:c r="C393" s="42"/>
      <x:c r="D393" s="44"/>
      <x:c r="E393" s="44"/>
      <x:c r="F393" s="44"/>
      <x:c r="G393" s="44"/>
      <x:c r="I393" s="44"/>
      <x:c r="J393" s="44"/>
      <x:c r="K393" s="44" t="str">
        <x:f>IF(COUNTA(D393:J393)=0,"",D393*0.25+E393*0.10+F393*0.20+G393*0.10+(H393/5)*0.10+I393*0.15+(1-J393)*0.10)</x:f>
      </x:c>
      <x:c r="L393" t="str">
        <x:f>IF(K393="","",IF(K393&gt;=0.90,"Preferred",IF(K393&gt;=0.80,"Approved",IF(K393&gt;=0.70,"Conditional",IF(K393&gt;=0.60,"Improvement Required","Replacement Candidate")))))</x:f>
      </x:c>
    </x:row>
    <x:row r="394">
      <x:c r="C394" s="42"/>
      <x:c r="D394" s="44"/>
      <x:c r="E394" s="44"/>
      <x:c r="F394" s="44"/>
      <x:c r="G394" s="44"/>
      <x:c r="I394" s="44"/>
      <x:c r="J394" s="44"/>
      <x:c r="K394" s="44" t="str">
        <x:f>IF(COUNTA(D394:J394)=0,"",D394*0.25+E394*0.10+F394*0.20+G394*0.10+(H394/5)*0.10+I394*0.15+(1-J394)*0.10)</x:f>
      </x:c>
      <x:c r="L394" t="str">
        <x:f>IF(K394="","",IF(K394&gt;=0.90,"Preferred",IF(K394&gt;=0.80,"Approved",IF(K394&gt;=0.70,"Conditional",IF(K394&gt;=0.60,"Improvement Required","Replacement Candidate")))))</x:f>
      </x:c>
    </x:row>
    <x:row r="395">
      <x:c r="C395" s="42"/>
      <x:c r="D395" s="44"/>
      <x:c r="E395" s="44"/>
      <x:c r="F395" s="44"/>
      <x:c r="G395" s="44"/>
      <x:c r="I395" s="44"/>
      <x:c r="J395" s="44"/>
      <x:c r="K395" s="44" t="str">
        <x:f>IF(COUNTA(D395:J395)=0,"",D395*0.25+E395*0.10+F395*0.20+G395*0.10+(H395/5)*0.10+I395*0.15+(1-J395)*0.10)</x:f>
      </x:c>
      <x:c r="L395" t="str">
        <x:f>IF(K395="","",IF(K395&gt;=0.90,"Preferred",IF(K395&gt;=0.80,"Approved",IF(K395&gt;=0.70,"Conditional",IF(K395&gt;=0.60,"Improvement Required","Replacement Candidate")))))</x:f>
      </x:c>
    </x:row>
    <x:row r="396">
      <x:c r="C396" s="42"/>
      <x:c r="D396" s="44"/>
      <x:c r="E396" s="44"/>
      <x:c r="F396" s="44"/>
      <x:c r="G396" s="44"/>
      <x:c r="I396" s="44"/>
      <x:c r="J396" s="44"/>
      <x:c r="K396" s="44" t="str">
        <x:f>IF(COUNTA(D396:J396)=0,"",D396*0.25+E396*0.10+F396*0.20+G396*0.10+(H396/5)*0.10+I396*0.15+(1-J396)*0.10)</x:f>
      </x:c>
      <x:c r="L396" t="str">
        <x:f>IF(K396="","",IF(K396&gt;=0.90,"Preferred",IF(K396&gt;=0.80,"Approved",IF(K396&gt;=0.70,"Conditional",IF(K396&gt;=0.60,"Improvement Required","Replacement Candidate")))))</x:f>
      </x:c>
    </x:row>
    <x:row r="397">
      <x:c r="C397" s="42"/>
      <x:c r="D397" s="44"/>
      <x:c r="E397" s="44"/>
      <x:c r="F397" s="44"/>
      <x:c r="G397" s="44"/>
      <x:c r="I397" s="44"/>
      <x:c r="J397" s="44"/>
      <x:c r="K397" s="44" t="str">
        <x:f>IF(COUNTA(D397:J397)=0,"",D397*0.25+E397*0.10+F397*0.20+G397*0.10+(H397/5)*0.10+I397*0.15+(1-J397)*0.10)</x:f>
      </x:c>
      <x:c r="L397" t="str">
        <x:f>IF(K397="","",IF(K397&gt;=0.90,"Preferred",IF(K397&gt;=0.80,"Approved",IF(K397&gt;=0.70,"Conditional",IF(K397&gt;=0.60,"Improvement Required","Replacement Candidate")))))</x:f>
      </x:c>
    </x:row>
    <x:row r="398">
      <x:c r="C398" s="42"/>
      <x:c r="D398" s="44"/>
      <x:c r="E398" s="44"/>
      <x:c r="F398" s="44"/>
      <x:c r="G398" s="44"/>
      <x:c r="I398" s="44"/>
      <x:c r="J398" s="44"/>
      <x:c r="K398" s="44" t="str">
        <x:f>IF(COUNTA(D398:J398)=0,"",D398*0.25+E398*0.10+F398*0.20+G398*0.10+(H398/5)*0.10+I398*0.15+(1-J398)*0.10)</x:f>
      </x:c>
      <x:c r="L398" t="str">
        <x:f>IF(K398="","",IF(K398&gt;=0.90,"Preferred",IF(K398&gt;=0.80,"Approved",IF(K398&gt;=0.70,"Conditional",IF(K398&gt;=0.60,"Improvement Required","Replacement Candidate")))))</x:f>
      </x:c>
    </x:row>
    <x:row r="399">
      <x:c r="C399" s="42"/>
      <x:c r="D399" s="44"/>
      <x:c r="E399" s="44"/>
      <x:c r="F399" s="44"/>
      <x:c r="G399" s="44"/>
      <x:c r="I399" s="44"/>
      <x:c r="J399" s="44"/>
      <x:c r="K399" s="44" t="str">
        <x:f>IF(COUNTA(D399:J399)=0,"",D399*0.25+E399*0.10+F399*0.20+G399*0.10+(H399/5)*0.10+I399*0.15+(1-J399)*0.10)</x:f>
      </x:c>
      <x:c r="L399" t="str">
        <x:f>IF(K399="","",IF(K399&gt;=0.90,"Preferred",IF(K399&gt;=0.80,"Approved",IF(K399&gt;=0.70,"Conditional",IF(K399&gt;=0.60,"Improvement Required","Replacement Candidate")))))</x:f>
      </x:c>
    </x:row>
    <x:row r="400">
      <x:c r="C400" s="42"/>
      <x:c r="D400" s="44"/>
      <x:c r="E400" s="44"/>
      <x:c r="F400" s="44"/>
      <x:c r="G400" s="44"/>
      <x:c r="I400" s="44"/>
      <x:c r="J400" s="44"/>
      <x:c r="K400" s="44" t="str">
        <x:f>IF(COUNTA(D400:J400)=0,"",D400*0.25+E400*0.10+F400*0.20+G400*0.10+(H400/5)*0.10+I400*0.15+(1-J400)*0.10)</x:f>
      </x:c>
      <x:c r="L400" t="str">
        <x:f>IF(K400="","",IF(K400&gt;=0.90,"Preferred",IF(K400&gt;=0.80,"Approved",IF(K400&gt;=0.70,"Conditional",IF(K400&gt;=0.60,"Improvement Required","Replacement Candidate")))))</x:f>
      </x:c>
    </x:row>
    <x:row r="401">
      <x:c r="C401" s="42"/>
      <x:c r="D401" s="44"/>
      <x:c r="E401" s="44"/>
      <x:c r="F401" s="44"/>
      <x:c r="G401" s="44"/>
      <x:c r="I401" s="44"/>
      <x:c r="J401" s="44"/>
      <x:c r="K401" s="44" t="str">
        <x:f>IF(COUNTA(D401:J401)=0,"",D401*0.25+E401*0.10+F401*0.20+G401*0.10+(H401/5)*0.10+I401*0.15+(1-J401)*0.10)</x:f>
      </x:c>
      <x:c r="L401" t="str">
        <x:f>IF(K401="","",IF(K401&gt;=0.90,"Preferred",IF(K401&gt;=0.80,"Approved",IF(K401&gt;=0.70,"Conditional",IF(K401&gt;=0.60,"Improvement Required","Replacement Candidate")))))</x:f>
      </x:c>
    </x:row>
    <x:row r="402">
      <x:c r="C402" s="42"/>
      <x:c r="D402" s="44"/>
      <x:c r="E402" s="44"/>
      <x:c r="F402" s="44"/>
      <x:c r="G402" s="44"/>
      <x:c r="I402" s="44"/>
      <x:c r="J402" s="44"/>
      <x:c r="K402" s="44" t="str">
        <x:f>IF(COUNTA(D402:J402)=0,"",D402*0.25+E402*0.10+F402*0.20+G402*0.10+(H402/5)*0.10+I402*0.15+(1-J402)*0.10)</x:f>
      </x:c>
      <x:c r="L402" t="str">
        <x:f>IF(K402="","",IF(K402&gt;=0.90,"Preferred",IF(K402&gt;=0.80,"Approved",IF(K402&gt;=0.70,"Conditional",IF(K402&gt;=0.60,"Improvement Required","Replacement Candidate")))))</x:f>
      </x:c>
    </x:row>
    <x:row r="403">
      <x:c r="C403" s="42"/>
      <x:c r="D403" s="44"/>
      <x:c r="E403" s="44"/>
      <x:c r="F403" s="44"/>
      <x:c r="G403" s="44"/>
      <x:c r="I403" s="44"/>
      <x:c r="J403" s="44"/>
      <x:c r="K403" s="44" t="str">
        <x:f>IF(COUNTA(D403:J403)=0,"",D403*0.25+E403*0.10+F403*0.20+G403*0.10+(H403/5)*0.10+I403*0.15+(1-J403)*0.10)</x:f>
      </x:c>
      <x:c r="L403" t="str">
        <x:f>IF(K403="","",IF(K403&gt;=0.90,"Preferred",IF(K403&gt;=0.80,"Approved",IF(K403&gt;=0.70,"Conditional",IF(K403&gt;=0.60,"Improvement Required","Replacement Candidate")))))</x:f>
      </x:c>
    </x:row>
    <x:row r="404">
      <x:c r="C404" s="42"/>
      <x:c r="D404" s="44"/>
      <x:c r="E404" s="44"/>
      <x:c r="F404" s="44"/>
      <x:c r="G404" s="44"/>
      <x:c r="I404" s="44"/>
      <x:c r="J404" s="44"/>
      <x:c r="K404" s="44" t="str">
        <x:f>IF(COUNTA(D404:J404)=0,"",D404*0.25+E404*0.10+F404*0.20+G404*0.10+(H404/5)*0.10+I404*0.15+(1-J404)*0.10)</x:f>
      </x:c>
      <x:c r="L404" t="str">
        <x:f>IF(K404="","",IF(K404&gt;=0.90,"Preferred",IF(K404&gt;=0.80,"Approved",IF(K404&gt;=0.70,"Conditional",IF(K404&gt;=0.60,"Improvement Required","Replacement Candidate")))))</x:f>
      </x:c>
    </x:row>
    <x:row r="405">
      <x:c r="C405" s="42"/>
      <x:c r="D405" s="44"/>
      <x:c r="E405" s="44"/>
      <x:c r="F405" s="44"/>
      <x:c r="G405" s="44"/>
      <x:c r="I405" s="44"/>
      <x:c r="J405" s="44"/>
      <x:c r="K405" s="44" t="str">
        <x:f>IF(COUNTA(D405:J405)=0,"",D405*0.25+E405*0.10+F405*0.20+G405*0.10+(H405/5)*0.10+I405*0.15+(1-J405)*0.10)</x:f>
      </x:c>
      <x:c r="L405" t="str">
        <x:f>IF(K405="","",IF(K405&gt;=0.90,"Preferred",IF(K405&gt;=0.80,"Approved",IF(K405&gt;=0.70,"Conditional",IF(K405&gt;=0.60,"Improvement Required","Replacement Candidate")))))</x:f>
      </x:c>
    </x:row>
    <x:row r="406">
      <x:c r="C406" s="42"/>
      <x:c r="D406" s="44"/>
      <x:c r="E406" s="44"/>
      <x:c r="F406" s="44"/>
      <x:c r="G406" s="44"/>
      <x:c r="I406" s="44"/>
      <x:c r="J406" s="44"/>
      <x:c r="K406" s="44" t="str">
        <x:f>IF(COUNTA(D406:J406)=0,"",D406*0.25+E406*0.10+F406*0.20+G406*0.10+(H406/5)*0.10+I406*0.15+(1-J406)*0.10)</x:f>
      </x:c>
      <x:c r="L406" t="str">
        <x:f>IF(K406="","",IF(K406&gt;=0.90,"Preferred",IF(K406&gt;=0.80,"Approved",IF(K406&gt;=0.70,"Conditional",IF(K406&gt;=0.60,"Improvement Required","Replacement Candidate")))))</x:f>
      </x:c>
    </x:row>
    <x:row r="407">
      <x:c r="C407" s="42"/>
      <x:c r="D407" s="44"/>
      <x:c r="E407" s="44"/>
      <x:c r="F407" s="44"/>
      <x:c r="G407" s="44"/>
      <x:c r="I407" s="44"/>
      <x:c r="J407" s="44"/>
      <x:c r="K407" s="44" t="str">
        <x:f>IF(COUNTA(D407:J407)=0,"",D407*0.25+E407*0.10+F407*0.20+G407*0.10+(H407/5)*0.10+I407*0.15+(1-J407)*0.10)</x:f>
      </x:c>
      <x:c r="L407" t="str">
        <x:f>IF(K407="","",IF(K407&gt;=0.90,"Preferred",IF(K407&gt;=0.80,"Approved",IF(K407&gt;=0.70,"Conditional",IF(K407&gt;=0.60,"Improvement Required","Replacement Candidate")))))</x:f>
      </x:c>
    </x:row>
    <x:row r="408">
      <x:c r="C408" s="42"/>
      <x:c r="D408" s="44"/>
      <x:c r="E408" s="44"/>
      <x:c r="F408" s="44"/>
      <x:c r="G408" s="44"/>
      <x:c r="I408" s="44"/>
      <x:c r="J408" s="44"/>
      <x:c r="K408" s="44" t="str">
        <x:f>IF(COUNTA(D408:J408)=0,"",D408*0.25+E408*0.10+F408*0.20+G408*0.10+(H408/5)*0.10+I408*0.15+(1-J408)*0.10)</x:f>
      </x:c>
      <x:c r="L408" t="str">
        <x:f>IF(K408="","",IF(K408&gt;=0.90,"Preferred",IF(K408&gt;=0.80,"Approved",IF(K408&gt;=0.70,"Conditional",IF(K408&gt;=0.60,"Improvement Required","Replacement Candidate")))))</x:f>
      </x:c>
    </x:row>
    <x:row r="409">
      <x:c r="C409" s="42"/>
      <x:c r="D409" s="44"/>
      <x:c r="E409" s="44"/>
      <x:c r="F409" s="44"/>
      <x:c r="G409" s="44"/>
      <x:c r="I409" s="44"/>
      <x:c r="J409" s="44"/>
      <x:c r="K409" s="44" t="str">
        <x:f>IF(COUNTA(D409:J409)=0,"",D409*0.25+E409*0.10+F409*0.20+G409*0.10+(H409/5)*0.10+I409*0.15+(1-J409)*0.10)</x:f>
      </x:c>
      <x:c r="L409" t="str">
        <x:f>IF(K409="","",IF(K409&gt;=0.90,"Preferred",IF(K409&gt;=0.80,"Approved",IF(K409&gt;=0.70,"Conditional",IF(K409&gt;=0.60,"Improvement Required","Replacement Candidate")))))</x:f>
      </x:c>
    </x:row>
    <x:row r="410">
      <x:c r="C410" s="42"/>
      <x:c r="D410" s="44"/>
      <x:c r="E410" s="44"/>
      <x:c r="F410" s="44"/>
      <x:c r="G410" s="44"/>
      <x:c r="I410" s="44"/>
      <x:c r="J410" s="44"/>
      <x:c r="K410" s="44" t="str">
        <x:f>IF(COUNTA(D410:J410)=0,"",D410*0.25+E410*0.10+F410*0.20+G410*0.10+(H410/5)*0.10+I410*0.15+(1-J410)*0.10)</x:f>
      </x:c>
      <x:c r="L410" t="str">
        <x:f>IF(K410="","",IF(K410&gt;=0.90,"Preferred",IF(K410&gt;=0.80,"Approved",IF(K410&gt;=0.70,"Conditional",IF(K410&gt;=0.60,"Improvement Required","Replacement Candidate")))))</x:f>
      </x:c>
    </x:row>
    <x:row r="411">
      <x:c r="C411" s="42"/>
      <x:c r="D411" s="44"/>
      <x:c r="E411" s="44"/>
      <x:c r="F411" s="44"/>
      <x:c r="G411" s="44"/>
      <x:c r="I411" s="44"/>
      <x:c r="J411" s="44"/>
      <x:c r="K411" s="44" t="str">
        <x:f>IF(COUNTA(D411:J411)=0,"",D411*0.25+E411*0.10+F411*0.20+G411*0.10+(H411/5)*0.10+I411*0.15+(1-J411)*0.10)</x:f>
      </x:c>
      <x:c r="L411" t="str">
        <x:f>IF(K411="","",IF(K411&gt;=0.90,"Preferred",IF(K411&gt;=0.80,"Approved",IF(K411&gt;=0.70,"Conditional",IF(K411&gt;=0.60,"Improvement Required","Replacement Candidate")))))</x:f>
      </x:c>
    </x:row>
    <x:row r="412">
      <x:c r="C412" s="42"/>
      <x:c r="D412" s="44"/>
      <x:c r="E412" s="44"/>
      <x:c r="F412" s="44"/>
      <x:c r="G412" s="44"/>
      <x:c r="I412" s="44"/>
      <x:c r="J412" s="44"/>
      <x:c r="K412" s="44" t="str">
        <x:f>IF(COUNTA(D412:J412)=0,"",D412*0.25+E412*0.10+F412*0.20+G412*0.10+(H412/5)*0.10+I412*0.15+(1-J412)*0.10)</x:f>
      </x:c>
      <x:c r="L412" t="str">
        <x:f>IF(K412="","",IF(K412&gt;=0.90,"Preferred",IF(K412&gt;=0.80,"Approved",IF(K412&gt;=0.70,"Conditional",IF(K412&gt;=0.60,"Improvement Required","Replacement Candidate")))))</x:f>
      </x:c>
    </x:row>
    <x:row r="413">
      <x:c r="C413" s="42"/>
      <x:c r="D413" s="44"/>
      <x:c r="E413" s="44"/>
      <x:c r="F413" s="44"/>
      <x:c r="G413" s="44"/>
      <x:c r="I413" s="44"/>
      <x:c r="J413" s="44"/>
      <x:c r="K413" s="44" t="str">
        <x:f>IF(COUNTA(D413:J413)=0,"",D413*0.25+E413*0.10+F413*0.20+G413*0.10+(H413/5)*0.10+I413*0.15+(1-J413)*0.10)</x:f>
      </x:c>
      <x:c r="L413" t="str">
        <x:f>IF(K413="","",IF(K413&gt;=0.90,"Preferred",IF(K413&gt;=0.80,"Approved",IF(K413&gt;=0.70,"Conditional",IF(K413&gt;=0.60,"Improvement Required","Replacement Candidate")))))</x:f>
      </x:c>
    </x:row>
    <x:row r="414">
      <x:c r="C414" s="42"/>
      <x:c r="D414" s="44"/>
      <x:c r="E414" s="44"/>
      <x:c r="F414" s="44"/>
      <x:c r="G414" s="44"/>
      <x:c r="I414" s="44"/>
      <x:c r="J414" s="44"/>
      <x:c r="K414" s="44" t="str">
        <x:f>IF(COUNTA(D414:J414)=0,"",D414*0.25+E414*0.10+F414*0.20+G414*0.10+(H414/5)*0.10+I414*0.15+(1-J414)*0.10)</x:f>
      </x:c>
      <x:c r="L414" t="str">
        <x:f>IF(K414="","",IF(K414&gt;=0.90,"Preferred",IF(K414&gt;=0.80,"Approved",IF(K414&gt;=0.70,"Conditional",IF(K414&gt;=0.60,"Improvement Required","Replacement Candidate")))))</x:f>
      </x:c>
    </x:row>
    <x:row r="415">
      <x:c r="C415" s="42"/>
      <x:c r="D415" s="44"/>
      <x:c r="E415" s="44"/>
      <x:c r="F415" s="44"/>
      <x:c r="G415" s="44"/>
      <x:c r="I415" s="44"/>
      <x:c r="J415" s="44"/>
      <x:c r="K415" s="44" t="str">
        <x:f>IF(COUNTA(D415:J415)=0,"",D415*0.25+E415*0.10+F415*0.20+G415*0.10+(H415/5)*0.10+I415*0.15+(1-J415)*0.10)</x:f>
      </x:c>
      <x:c r="L415" t="str">
        <x:f>IF(K415="","",IF(K415&gt;=0.90,"Preferred",IF(K415&gt;=0.80,"Approved",IF(K415&gt;=0.70,"Conditional",IF(K415&gt;=0.60,"Improvement Required","Replacement Candidate")))))</x:f>
      </x:c>
    </x:row>
    <x:row r="416">
      <x:c r="C416" s="42"/>
      <x:c r="D416" s="44"/>
      <x:c r="E416" s="44"/>
      <x:c r="F416" s="44"/>
      <x:c r="G416" s="44"/>
      <x:c r="I416" s="44"/>
      <x:c r="J416" s="44"/>
      <x:c r="K416" s="44" t="str">
        <x:f>IF(COUNTA(D416:J416)=0,"",D416*0.25+E416*0.10+F416*0.20+G416*0.10+(H416/5)*0.10+I416*0.15+(1-J416)*0.10)</x:f>
      </x:c>
      <x:c r="L416" t="str">
        <x:f>IF(K416="","",IF(K416&gt;=0.90,"Preferred",IF(K416&gt;=0.80,"Approved",IF(K416&gt;=0.70,"Conditional",IF(K416&gt;=0.60,"Improvement Required","Replacement Candidate")))))</x:f>
      </x:c>
    </x:row>
    <x:row r="417">
      <x:c r="C417" s="42"/>
      <x:c r="D417" s="44"/>
      <x:c r="E417" s="44"/>
      <x:c r="F417" s="44"/>
      <x:c r="G417" s="44"/>
      <x:c r="I417" s="44"/>
      <x:c r="J417" s="44"/>
      <x:c r="K417" s="44" t="str">
        <x:f>IF(COUNTA(D417:J417)=0,"",D417*0.25+E417*0.10+F417*0.20+G417*0.10+(H417/5)*0.10+I417*0.15+(1-J417)*0.10)</x:f>
      </x:c>
      <x:c r="L417" t="str">
        <x:f>IF(K417="","",IF(K417&gt;=0.90,"Preferred",IF(K417&gt;=0.80,"Approved",IF(K417&gt;=0.70,"Conditional",IF(K417&gt;=0.60,"Improvement Required","Replacement Candidate")))))</x:f>
      </x:c>
    </x:row>
    <x:row r="418">
      <x:c r="C418" s="42"/>
      <x:c r="D418" s="44"/>
      <x:c r="E418" s="44"/>
      <x:c r="F418" s="44"/>
      <x:c r="G418" s="44"/>
      <x:c r="I418" s="44"/>
      <x:c r="J418" s="44"/>
      <x:c r="K418" s="44" t="str">
        <x:f>IF(COUNTA(D418:J418)=0,"",D418*0.25+E418*0.10+F418*0.20+G418*0.10+(H418/5)*0.10+I418*0.15+(1-J418)*0.10)</x:f>
      </x:c>
      <x:c r="L418" t="str">
        <x:f>IF(K418="","",IF(K418&gt;=0.90,"Preferred",IF(K418&gt;=0.80,"Approved",IF(K418&gt;=0.70,"Conditional",IF(K418&gt;=0.60,"Improvement Required","Replacement Candidate")))))</x:f>
      </x:c>
    </x:row>
    <x:row r="419">
      <x:c r="C419" s="42"/>
      <x:c r="D419" s="44"/>
      <x:c r="E419" s="44"/>
      <x:c r="F419" s="44"/>
      <x:c r="G419" s="44"/>
      <x:c r="I419" s="44"/>
      <x:c r="J419" s="44"/>
      <x:c r="K419" s="44" t="str">
        <x:f>IF(COUNTA(D419:J419)=0,"",D419*0.25+E419*0.10+F419*0.20+G419*0.10+(H419/5)*0.10+I419*0.15+(1-J419)*0.10)</x:f>
      </x:c>
      <x:c r="L419" t="str">
        <x:f>IF(K419="","",IF(K419&gt;=0.90,"Preferred",IF(K419&gt;=0.80,"Approved",IF(K419&gt;=0.70,"Conditional",IF(K419&gt;=0.60,"Improvement Required","Replacement Candidate")))))</x:f>
      </x:c>
    </x:row>
    <x:row r="420">
      <x:c r="C420" s="42"/>
      <x:c r="D420" s="44"/>
      <x:c r="E420" s="44"/>
      <x:c r="F420" s="44"/>
      <x:c r="G420" s="44"/>
      <x:c r="I420" s="44"/>
      <x:c r="J420" s="44"/>
      <x:c r="K420" s="44" t="str">
        <x:f>IF(COUNTA(D420:J420)=0,"",D420*0.25+E420*0.10+F420*0.20+G420*0.10+(H420/5)*0.10+I420*0.15+(1-J420)*0.10)</x:f>
      </x:c>
      <x:c r="L420" t="str">
        <x:f>IF(K420="","",IF(K420&gt;=0.90,"Preferred",IF(K420&gt;=0.80,"Approved",IF(K420&gt;=0.70,"Conditional",IF(K420&gt;=0.60,"Improvement Required","Replacement Candidate")))))</x:f>
      </x:c>
    </x:row>
    <x:row r="421">
      <x:c r="C421" s="42"/>
      <x:c r="D421" s="44"/>
      <x:c r="E421" s="44"/>
      <x:c r="F421" s="44"/>
      <x:c r="G421" s="44"/>
      <x:c r="I421" s="44"/>
      <x:c r="J421" s="44"/>
      <x:c r="K421" s="44" t="str">
        <x:f>IF(COUNTA(D421:J421)=0,"",D421*0.25+E421*0.10+F421*0.20+G421*0.10+(H421/5)*0.10+I421*0.15+(1-J421)*0.10)</x:f>
      </x:c>
      <x:c r="L421" t="str">
        <x:f>IF(K421="","",IF(K421&gt;=0.90,"Preferred",IF(K421&gt;=0.80,"Approved",IF(K421&gt;=0.70,"Conditional",IF(K421&gt;=0.60,"Improvement Required","Replacement Candidate")))))</x:f>
      </x:c>
    </x:row>
    <x:row r="422">
      <x:c r="C422" s="42"/>
      <x:c r="D422" s="44"/>
      <x:c r="E422" s="44"/>
      <x:c r="F422" s="44"/>
      <x:c r="G422" s="44"/>
      <x:c r="I422" s="44"/>
      <x:c r="J422" s="44"/>
      <x:c r="K422" s="44" t="str">
        <x:f>IF(COUNTA(D422:J422)=0,"",D422*0.25+E422*0.10+F422*0.20+G422*0.10+(H422/5)*0.10+I422*0.15+(1-J422)*0.10)</x:f>
      </x:c>
      <x:c r="L422" t="str">
        <x:f>IF(K422="","",IF(K422&gt;=0.90,"Preferred",IF(K422&gt;=0.80,"Approved",IF(K422&gt;=0.70,"Conditional",IF(K422&gt;=0.60,"Improvement Required","Replacement Candidate")))))</x:f>
      </x:c>
    </x:row>
    <x:row r="423">
      <x:c r="C423" s="42"/>
      <x:c r="D423" s="44"/>
      <x:c r="E423" s="44"/>
      <x:c r="F423" s="44"/>
      <x:c r="G423" s="44"/>
      <x:c r="I423" s="44"/>
      <x:c r="J423" s="44"/>
      <x:c r="K423" s="44" t="str">
        <x:f>IF(COUNTA(D423:J423)=0,"",D423*0.25+E423*0.10+F423*0.20+G423*0.10+(H423/5)*0.10+I423*0.15+(1-J423)*0.10)</x:f>
      </x:c>
      <x:c r="L423" t="str">
        <x:f>IF(K423="","",IF(K423&gt;=0.90,"Preferred",IF(K423&gt;=0.80,"Approved",IF(K423&gt;=0.70,"Conditional",IF(K423&gt;=0.60,"Improvement Required","Replacement Candidate")))))</x:f>
      </x:c>
    </x:row>
    <x:row r="424">
      <x:c r="C424" s="42"/>
      <x:c r="D424" s="44"/>
      <x:c r="E424" s="44"/>
      <x:c r="F424" s="44"/>
      <x:c r="G424" s="44"/>
      <x:c r="I424" s="44"/>
      <x:c r="J424" s="44"/>
      <x:c r="K424" s="44" t="str">
        <x:f>IF(COUNTA(D424:J424)=0,"",D424*0.25+E424*0.10+F424*0.20+G424*0.10+(H424/5)*0.10+I424*0.15+(1-J424)*0.10)</x:f>
      </x:c>
      <x:c r="L424" t="str">
        <x:f>IF(K424="","",IF(K424&gt;=0.90,"Preferred",IF(K424&gt;=0.80,"Approved",IF(K424&gt;=0.70,"Conditional",IF(K424&gt;=0.60,"Improvement Required","Replacement Candidate")))))</x:f>
      </x:c>
    </x:row>
    <x:row r="425">
      <x:c r="C425" s="42"/>
      <x:c r="D425" s="44"/>
      <x:c r="E425" s="44"/>
      <x:c r="F425" s="44"/>
      <x:c r="G425" s="44"/>
      <x:c r="I425" s="44"/>
      <x:c r="J425" s="44"/>
      <x:c r="K425" s="44" t="str">
        <x:f>IF(COUNTA(D425:J425)=0,"",D425*0.25+E425*0.10+F425*0.20+G425*0.10+(H425/5)*0.10+I425*0.15+(1-J425)*0.10)</x:f>
      </x:c>
      <x:c r="L425" t="str">
        <x:f>IF(K425="","",IF(K425&gt;=0.90,"Preferred",IF(K425&gt;=0.80,"Approved",IF(K425&gt;=0.70,"Conditional",IF(K425&gt;=0.60,"Improvement Required","Replacement Candidate")))))</x:f>
      </x:c>
    </x:row>
    <x:row r="426">
      <x:c r="C426" s="42"/>
      <x:c r="D426" s="44"/>
      <x:c r="E426" s="44"/>
      <x:c r="F426" s="44"/>
      <x:c r="G426" s="44"/>
      <x:c r="I426" s="44"/>
      <x:c r="J426" s="44"/>
      <x:c r="K426" s="44" t="str">
        <x:f>IF(COUNTA(D426:J426)=0,"",D426*0.25+E426*0.10+F426*0.20+G426*0.10+(H426/5)*0.10+I426*0.15+(1-J426)*0.10)</x:f>
      </x:c>
      <x:c r="L426" t="str">
        <x:f>IF(K426="","",IF(K426&gt;=0.90,"Preferred",IF(K426&gt;=0.80,"Approved",IF(K426&gt;=0.70,"Conditional",IF(K426&gt;=0.60,"Improvement Required","Replacement Candidate")))))</x:f>
      </x:c>
    </x:row>
    <x:row r="427">
      <x:c r="C427" s="42"/>
      <x:c r="D427" s="44"/>
      <x:c r="E427" s="44"/>
      <x:c r="F427" s="44"/>
      <x:c r="G427" s="44"/>
      <x:c r="I427" s="44"/>
      <x:c r="J427" s="44"/>
      <x:c r="K427" s="44" t="str">
        <x:f>IF(COUNTA(D427:J427)=0,"",D427*0.25+E427*0.10+F427*0.20+G427*0.10+(H427/5)*0.10+I427*0.15+(1-J427)*0.10)</x:f>
      </x:c>
      <x:c r="L427" t="str">
        <x:f>IF(K427="","",IF(K427&gt;=0.90,"Preferred",IF(K427&gt;=0.80,"Approved",IF(K427&gt;=0.70,"Conditional",IF(K427&gt;=0.60,"Improvement Required","Replacement Candidate")))))</x:f>
      </x:c>
    </x:row>
    <x:row r="428">
      <x:c r="C428" s="42"/>
      <x:c r="D428" s="44"/>
      <x:c r="E428" s="44"/>
      <x:c r="F428" s="44"/>
      <x:c r="G428" s="44"/>
      <x:c r="I428" s="44"/>
      <x:c r="J428" s="44"/>
      <x:c r="K428" s="44" t="str">
        <x:f>IF(COUNTA(D428:J428)=0,"",D428*0.25+E428*0.10+F428*0.20+G428*0.10+(H428/5)*0.10+I428*0.15+(1-J428)*0.10)</x:f>
      </x:c>
      <x:c r="L428" t="str">
        <x:f>IF(K428="","",IF(K428&gt;=0.90,"Preferred",IF(K428&gt;=0.80,"Approved",IF(K428&gt;=0.70,"Conditional",IF(K428&gt;=0.60,"Improvement Required","Replacement Candidate")))))</x:f>
      </x:c>
    </x:row>
    <x:row r="429">
      <x:c r="C429" s="42"/>
      <x:c r="D429" s="44"/>
      <x:c r="E429" s="44"/>
      <x:c r="F429" s="44"/>
      <x:c r="G429" s="44"/>
      <x:c r="I429" s="44"/>
      <x:c r="J429" s="44"/>
      <x:c r="K429" s="44" t="str">
        <x:f>IF(COUNTA(D429:J429)=0,"",D429*0.25+E429*0.10+F429*0.20+G429*0.10+(H429/5)*0.10+I429*0.15+(1-J429)*0.10)</x:f>
      </x:c>
      <x:c r="L429" t="str">
        <x:f>IF(K429="","",IF(K429&gt;=0.90,"Preferred",IF(K429&gt;=0.80,"Approved",IF(K429&gt;=0.70,"Conditional",IF(K429&gt;=0.60,"Improvement Required","Replacement Candidate")))))</x:f>
      </x:c>
    </x:row>
    <x:row r="430">
      <x:c r="C430" s="42"/>
      <x:c r="D430" s="44"/>
      <x:c r="E430" s="44"/>
      <x:c r="F430" s="44"/>
      <x:c r="G430" s="44"/>
      <x:c r="I430" s="44"/>
      <x:c r="J430" s="44"/>
      <x:c r="K430" s="44" t="str">
        <x:f>IF(COUNTA(D430:J430)=0,"",D430*0.25+E430*0.10+F430*0.20+G430*0.10+(H430/5)*0.10+I430*0.15+(1-J430)*0.10)</x:f>
      </x:c>
      <x:c r="L430" t="str">
        <x:f>IF(K430="","",IF(K430&gt;=0.90,"Preferred",IF(K430&gt;=0.80,"Approved",IF(K430&gt;=0.70,"Conditional",IF(K430&gt;=0.60,"Improvement Required","Replacement Candidate")))))</x:f>
      </x:c>
    </x:row>
    <x:row r="431">
      <x:c r="C431" s="42"/>
      <x:c r="D431" s="44"/>
      <x:c r="E431" s="44"/>
      <x:c r="F431" s="44"/>
      <x:c r="G431" s="44"/>
      <x:c r="I431" s="44"/>
      <x:c r="J431" s="44"/>
      <x:c r="K431" s="44" t="str">
        <x:f>IF(COUNTA(D431:J431)=0,"",D431*0.25+E431*0.10+F431*0.20+G431*0.10+(H431/5)*0.10+I431*0.15+(1-J431)*0.10)</x:f>
      </x:c>
      <x:c r="L431" t="str">
        <x:f>IF(K431="","",IF(K431&gt;=0.90,"Preferred",IF(K431&gt;=0.80,"Approved",IF(K431&gt;=0.70,"Conditional",IF(K431&gt;=0.60,"Improvement Required","Replacement Candidate")))))</x:f>
      </x:c>
    </x:row>
    <x:row r="432">
      <x:c r="C432" s="42"/>
      <x:c r="D432" s="44"/>
      <x:c r="E432" s="44"/>
      <x:c r="F432" s="44"/>
      <x:c r="G432" s="44"/>
      <x:c r="I432" s="44"/>
      <x:c r="J432" s="44"/>
      <x:c r="K432" s="44" t="str">
        <x:f>IF(COUNTA(D432:J432)=0,"",D432*0.25+E432*0.10+F432*0.20+G432*0.10+(H432/5)*0.10+I432*0.15+(1-J432)*0.10)</x:f>
      </x:c>
      <x:c r="L432" t="str">
        <x:f>IF(K432="","",IF(K432&gt;=0.90,"Preferred",IF(K432&gt;=0.80,"Approved",IF(K432&gt;=0.70,"Conditional",IF(K432&gt;=0.60,"Improvement Required","Replacement Candidate")))))</x:f>
      </x:c>
    </x:row>
    <x:row r="433">
      <x:c r="C433" s="42"/>
      <x:c r="D433" s="44"/>
      <x:c r="E433" s="44"/>
      <x:c r="F433" s="44"/>
      <x:c r="G433" s="44"/>
      <x:c r="I433" s="44"/>
      <x:c r="J433" s="44"/>
      <x:c r="K433" s="44" t="str">
        <x:f>IF(COUNTA(D433:J433)=0,"",D433*0.25+E433*0.10+F433*0.20+G433*0.10+(H433/5)*0.10+I433*0.15+(1-J433)*0.10)</x:f>
      </x:c>
      <x:c r="L433" t="str">
        <x:f>IF(K433="","",IF(K433&gt;=0.90,"Preferred",IF(K433&gt;=0.80,"Approved",IF(K433&gt;=0.70,"Conditional",IF(K433&gt;=0.60,"Improvement Required","Replacement Candidate")))))</x:f>
      </x:c>
    </x:row>
    <x:row r="434">
      <x:c r="C434" s="42"/>
      <x:c r="D434" s="44"/>
      <x:c r="E434" s="44"/>
      <x:c r="F434" s="44"/>
      <x:c r="G434" s="44"/>
      <x:c r="I434" s="44"/>
      <x:c r="J434" s="44"/>
      <x:c r="K434" s="44" t="str">
        <x:f>IF(COUNTA(D434:J434)=0,"",D434*0.25+E434*0.10+F434*0.20+G434*0.10+(H434/5)*0.10+I434*0.15+(1-J434)*0.10)</x:f>
      </x:c>
      <x:c r="L434" t="str">
        <x:f>IF(K434="","",IF(K434&gt;=0.90,"Preferred",IF(K434&gt;=0.80,"Approved",IF(K434&gt;=0.70,"Conditional",IF(K434&gt;=0.60,"Improvement Required","Replacement Candidate")))))</x:f>
      </x:c>
    </x:row>
    <x:row r="435">
      <x:c r="C435" s="42"/>
      <x:c r="D435" s="44"/>
      <x:c r="E435" s="44"/>
      <x:c r="F435" s="44"/>
      <x:c r="G435" s="44"/>
      <x:c r="I435" s="44"/>
      <x:c r="J435" s="44"/>
      <x:c r="K435" s="44" t="str">
        <x:f>IF(COUNTA(D435:J435)=0,"",D435*0.25+E435*0.10+F435*0.20+G435*0.10+(H435/5)*0.10+I435*0.15+(1-J435)*0.10)</x:f>
      </x:c>
      <x:c r="L435" t="str">
        <x:f>IF(K435="","",IF(K435&gt;=0.90,"Preferred",IF(K435&gt;=0.80,"Approved",IF(K435&gt;=0.70,"Conditional",IF(K435&gt;=0.60,"Improvement Required","Replacement Candidate")))))</x:f>
      </x:c>
    </x:row>
    <x:row r="436">
      <x:c r="C436" s="42"/>
      <x:c r="D436" s="44"/>
      <x:c r="E436" s="44"/>
      <x:c r="F436" s="44"/>
      <x:c r="G436" s="44"/>
      <x:c r="I436" s="44"/>
      <x:c r="J436" s="44"/>
      <x:c r="K436" s="44" t="str">
        <x:f>IF(COUNTA(D436:J436)=0,"",D436*0.25+E436*0.10+F436*0.20+G436*0.10+(H436/5)*0.10+I436*0.15+(1-J436)*0.10)</x:f>
      </x:c>
      <x:c r="L436" t="str">
        <x:f>IF(K436="","",IF(K436&gt;=0.90,"Preferred",IF(K436&gt;=0.80,"Approved",IF(K436&gt;=0.70,"Conditional",IF(K436&gt;=0.60,"Improvement Required","Replacement Candidate")))))</x:f>
      </x:c>
    </x:row>
    <x:row r="437">
      <x:c r="C437" s="42"/>
      <x:c r="D437" s="44"/>
      <x:c r="E437" s="44"/>
      <x:c r="F437" s="44"/>
      <x:c r="G437" s="44"/>
      <x:c r="I437" s="44"/>
      <x:c r="J437" s="44"/>
      <x:c r="K437" s="44" t="str">
        <x:f>IF(COUNTA(D437:J437)=0,"",D437*0.25+E437*0.10+F437*0.20+G437*0.10+(H437/5)*0.10+I437*0.15+(1-J437)*0.10)</x:f>
      </x:c>
      <x:c r="L437" t="str">
        <x:f>IF(K437="","",IF(K437&gt;=0.90,"Preferred",IF(K437&gt;=0.80,"Approved",IF(K437&gt;=0.70,"Conditional",IF(K437&gt;=0.60,"Improvement Required","Replacement Candidate")))))</x:f>
      </x:c>
    </x:row>
    <x:row r="438">
      <x:c r="C438" s="42"/>
      <x:c r="D438" s="44"/>
      <x:c r="E438" s="44"/>
      <x:c r="F438" s="44"/>
      <x:c r="G438" s="44"/>
      <x:c r="I438" s="44"/>
      <x:c r="J438" s="44"/>
      <x:c r="K438" s="44" t="str">
        <x:f>IF(COUNTA(D438:J438)=0,"",D438*0.25+E438*0.10+F438*0.20+G438*0.10+(H438/5)*0.10+I438*0.15+(1-J438)*0.10)</x:f>
      </x:c>
      <x:c r="L438" t="str">
        <x:f>IF(K438="","",IF(K438&gt;=0.90,"Preferred",IF(K438&gt;=0.80,"Approved",IF(K438&gt;=0.70,"Conditional",IF(K438&gt;=0.60,"Improvement Required","Replacement Candidate")))))</x:f>
      </x:c>
    </x:row>
    <x:row r="439">
      <x:c r="C439" s="42"/>
      <x:c r="D439" s="44"/>
      <x:c r="E439" s="44"/>
      <x:c r="F439" s="44"/>
      <x:c r="G439" s="44"/>
      <x:c r="I439" s="44"/>
      <x:c r="J439" s="44"/>
      <x:c r="K439" s="44" t="str">
        <x:f>IF(COUNTA(D439:J439)=0,"",D439*0.25+E439*0.10+F439*0.20+G439*0.10+(H439/5)*0.10+I439*0.15+(1-J439)*0.10)</x:f>
      </x:c>
      <x:c r="L439" t="str">
        <x:f>IF(K439="","",IF(K439&gt;=0.90,"Preferred",IF(K439&gt;=0.80,"Approved",IF(K439&gt;=0.70,"Conditional",IF(K439&gt;=0.60,"Improvement Required","Replacement Candidate")))))</x:f>
      </x:c>
    </x:row>
    <x:row r="440">
      <x:c r="C440" s="42"/>
      <x:c r="D440" s="44"/>
      <x:c r="E440" s="44"/>
      <x:c r="F440" s="44"/>
      <x:c r="G440" s="44"/>
      <x:c r="I440" s="44"/>
      <x:c r="J440" s="44"/>
      <x:c r="K440" s="44" t="str">
        <x:f>IF(COUNTA(D440:J440)=0,"",D440*0.25+E440*0.10+F440*0.20+G440*0.10+(H440/5)*0.10+I440*0.15+(1-J440)*0.10)</x:f>
      </x:c>
      <x:c r="L440" t="str">
        <x:f>IF(K440="","",IF(K440&gt;=0.90,"Preferred",IF(K440&gt;=0.80,"Approved",IF(K440&gt;=0.70,"Conditional",IF(K440&gt;=0.60,"Improvement Required","Replacement Candidate")))))</x:f>
      </x:c>
    </x:row>
    <x:row r="441">
      <x:c r="C441" s="42"/>
      <x:c r="D441" s="44"/>
      <x:c r="E441" s="44"/>
      <x:c r="F441" s="44"/>
      <x:c r="G441" s="44"/>
      <x:c r="I441" s="44"/>
      <x:c r="J441" s="44"/>
      <x:c r="K441" s="44" t="str">
        <x:f>IF(COUNTA(D441:J441)=0,"",D441*0.25+E441*0.10+F441*0.20+G441*0.10+(H441/5)*0.10+I441*0.15+(1-J441)*0.10)</x:f>
      </x:c>
      <x:c r="L441" t="str">
        <x:f>IF(K441="","",IF(K441&gt;=0.90,"Preferred",IF(K441&gt;=0.80,"Approved",IF(K441&gt;=0.70,"Conditional",IF(K441&gt;=0.60,"Improvement Required","Replacement Candidate")))))</x:f>
      </x:c>
    </x:row>
    <x:row r="442">
      <x:c r="C442" s="42"/>
      <x:c r="D442" s="44"/>
      <x:c r="E442" s="44"/>
      <x:c r="F442" s="44"/>
      <x:c r="G442" s="44"/>
      <x:c r="I442" s="44"/>
      <x:c r="J442" s="44"/>
      <x:c r="K442" s="44" t="str">
        <x:f>IF(COUNTA(D442:J442)=0,"",D442*0.25+E442*0.10+F442*0.20+G442*0.10+(H442/5)*0.10+I442*0.15+(1-J442)*0.10)</x:f>
      </x:c>
      <x:c r="L442" t="str">
        <x:f>IF(K442="","",IF(K442&gt;=0.90,"Preferred",IF(K442&gt;=0.80,"Approved",IF(K442&gt;=0.70,"Conditional",IF(K442&gt;=0.60,"Improvement Required","Replacement Candidate")))))</x:f>
      </x:c>
    </x:row>
    <x:row r="443">
      <x:c r="C443" s="42"/>
      <x:c r="D443" s="44"/>
      <x:c r="E443" s="44"/>
      <x:c r="F443" s="44"/>
      <x:c r="G443" s="44"/>
      <x:c r="I443" s="44"/>
      <x:c r="J443" s="44"/>
      <x:c r="K443" s="44" t="str">
        <x:f>IF(COUNTA(D443:J443)=0,"",D443*0.25+E443*0.10+F443*0.20+G443*0.10+(H443/5)*0.10+I443*0.15+(1-J443)*0.10)</x:f>
      </x:c>
      <x:c r="L443" t="str">
        <x:f>IF(K443="","",IF(K443&gt;=0.90,"Preferred",IF(K443&gt;=0.80,"Approved",IF(K443&gt;=0.70,"Conditional",IF(K443&gt;=0.60,"Improvement Required","Replacement Candidate")))))</x:f>
      </x:c>
    </x:row>
    <x:row r="444">
      <x:c r="C444" s="42"/>
      <x:c r="D444" s="44"/>
      <x:c r="E444" s="44"/>
      <x:c r="F444" s="44"/>
      <x:c r="G444" s="44"/>
      <x:c r="I444" s="44"/>
      <x:c r="J444" s="44"/>
      <x:c r="K444" s="44" t="str">
        <x:f>IF(COUNTA(D444:J444)=0,"",D444*0.25+E444*0.10+F444*0.20+G444*0.10+(H444/5)*0.10+I444*0.15+(1-J444)*0.10)</x:f>
      </x:c>
      <x:c r="L444" t="str">
        <x:f>IF(K444="","",IF(K444&gt;=0.90,"Preferred",IF(K444&gt;=0.80,"Approved",IF(K444&gt;=0.70,"Conditional",IF(K444&gt;=0.60,"Improvement Required","Replacement Candidate")))))</x:f>
      </x:c>
    </x:row>
    <x:row r="445">
      <x:c r="C445" s="42"/>
      <x:c r="D445" s="44"/>
      <x:c r="E445" s="44"/>
      <x:c r="F445" s="44"/>
      <x:c r="G445" s="44"/>
      <x:c r="I445" s="44"/>
      <x:c r="J445" s="44"/>
      <x:c r="K445" s="44" t="str">
        <x:f>IF(COUNTA(D445:J445)=0,"",D445*0.25+E445*0.10+F445*0.20+G445*0.10+(H445/5)*0.10+I445*0.15+(1-J445)*0.10)</x:f>
      </x:c>
      <x:c r="L445" t="str">
        <x:f>IF(K445="","",IF(K445&gt;=0.90,"Preferred",IF(K445&gt;=0.80,"Approved",IF(K445&gt;=0.70,"Conditional",IF(K445&gt;=0.60,"Improvement Required","Replacement Candidate")))))</x:f>
      </x:c>
    </x:row>
    <x:row r="446">
      <x:c r="C446" s="42"/>
      <x:c r="D446" s="44"/>
      <x:c r="E446" s="44"/>
      <x:c r="F446" s="44"/>
      <x:c r="G446" s="44"/>
      <x:c r="I446" s="44"/>
      <x:c r="J446" s="44"/>
      <x:c r="K446" s="44" t="str">
        <x:f>IF(COUNTA(D446:J446)=0,"",D446*0.25+E446*0.10+F446*0.20+G446*0.10+(H446/5)*0.10+I446*0.15+(1-J446)*0.10)</x:f>
      </x:c>
      <x:c r="L446" t="str">
        <x:f>IF(K446="","",IF(K446&gt;=0.90,"Preferred",IF(K446&gt;=0.80,"Approved",IF(K446&gt;=0.70,"Conditional",IF(K446&gt;=0.60,"Improvement Required","Replacement Candidate")))))</x:f>
      </x:c>
    </x:row>
    <x:row r="447">
      <x:c r="C447" s="42"/>
      <x:c r="D447" s="44"/>
      <x:c r="E447" s="44"/>
      <x:c r="F447" s="44"/>
      <x:c r="G447" s="44"/>
      <x:c r="I447" s="44"/>
      <x:c r="J447" s="44"/>
      <x:c r="K447" s="44" t="str">
        <x:f>IF(COUNTA(D447:J447)=0,"",D447*0.25+E447*0.10+F447*0.20+G447*0.10+(H447/5)*0.10+I447*0.15+(1-J447)*0.10)</x:f>
      </x:c>
      <x:c r="L447" t="str">
        <x:f>IF(K447="","",IF(K447&gt;=0.90,"Preferred",IF(K447&gt;=0.80,"Approved",IF(K447&gt;=0.70,"Conditional",IF(K447&gt;=0.60,"Improvement Required","Replacement Candidate")))))</x:f>
      </x:c>
    </x:row>
    <x:row r="448">
      <x:c r="C448" s="42"/>
      <x:c r="D448" s="44"/>
      <x:c r="E448" s="44"/>
      <x:c r="F448" s="44"/>
      <x:c r="G448" s="44"/>
      <x:c r="I448" s="44"/>
      <x:c r="J448" s="44"/>
      <x:c r="K448" s="44" t="str">
        <x:f>IF(COUNTA(D448:J448)=0,"",D448*0.25+E448*0.10+F448*0.20+G448*0.10+(H448/5)*0.10+I448*0.15+(1-J448)*0.10)</x:f>
      </x:c>
      <x:c r="L448" t="str">
        <x:f>IF(K448="","",IF(K448&gt;=0.90,"Preferred",IF(K448&gt;=0.80,"Approved",IF(K448&gt;=0.70,"Conditional",IF(K448&gt;=0.60,"Improvement Required","Replacement Candidate")))))</x:f>
      </x:c>
    </x:row>
    <x:row r="449">
      <x:c r="C449" s="42"/>
      <x:c r="D449" s="44"/>
      <x:c r="E449" s="44"/>
      <x:c r="F449" s="44"/>
      <x:c r="G449" s="44"/>
      <x:c r="I449" s="44"/>
      <x:c r="J449" s="44"/>
      <x:c r="K449" s="44" t="str">
        <x:f>IF(COUNTA(D449:J449)=0,"",D449*0.25+E449*0.10+F449*0.20+G449*0.10+(H449/5)*0.10+I449*0.15+(1-J449)*0.10)</x:f>
      </x:c>
      <x:c r="L449" t="str">
        <x:f>IF(K449="","",IF(K449&gt;=0.90,"Preferred",IF(K449&gt;=0.80,"Approved",IF(K449&gt;=0.70,"Conditional",IF(K449&gt;=0.60,"Improvement Required","Replacement Candidate")))))</x:f>
      </x:c>
    </x:row>
    <x:row r="450">
      <x:c r="C450" s="42"/>
      <x:c r="D450" s="44"/>
      <x:c r="E450" s="44"/>
      <x:c r="F450" s="44"/>
      <x:c r="G450" s="44"/>
      <x:c r="I450" s="44"/>
      <x:c r="J450" s="44"/>
      <x:c r="K450" s="44" t="str">
        <x:f>IF(COUNTA(D450:J450)=0,"",D450*0.25+E450*0.10+F450*0.20+G450*0.10+(H450/5)*0.10+I450*0.15+(1-J450)*0.10)</x:f>
      </x:c>
      <x:c r="L450" t="str">
        <x:f>IF(K450="","",IF(K450&gt;=0.90,"Preferred",IF(K450&gt;=0.80,"Approved",IF(K450&gt;=0.70,"Conditional",IF(K450&gt;=0.60,"Improvement Required","Replacement Candidate")))))</x:f>
      </x:c>
    </x:row>
    <x:row r="451">
      <x:c r="C451" s="42"/>
      <x:c r="D451" s="44"/>
      <x:c r="E451" s="44"/>
      <x:c r="F451" s="44"/>
      <x:c r="G451" s="44"/>
      <x:c r="I451" s="44"/>
      <x:c r="J451" s="44"/>
      <x:c r="K451" s="44" t="str">
        <x:f>IF(COUNTA(D451:J451)=0,"",D451*0.25+E451*0.10+F451*0.20+G451*0.10+(H451/5)*0.10+I451*0.15+(1-J451)*0.10)</x:f>
      </x:c>
      <x:c r="L451" t="str">
        <x:f>IF(K451="","",IF(K451&gt;=0.90,"Preferred",IF(K451&gt;=0.80,"Approved",IF(K451&gt;=0.70,"Conditional",IF(K451&gt;=0.60,"Improvement Required","Replacement Candidate")))))</x:f>
      </x:c>
    </x:row>
    <x:row r="452">
      <x:c r="C452" s="42"/>
      <x:c r="D452" s="44"/>
      <x:c r="E452" s="44"/>
      <x:c r="F452" s="44"/>
      <x:c r="G452" s="44"/>
      <x:c r="I452" s="44"/>
      <x:c r="J452" s="44"/>
      <x:c r="K452" s="44" t="str">
        <x:f>IF(COUNTA(D452:J452)=0,"",D452*0.25+E452*0.10+F452*0.20+G452*0.10+(H452/5)*0.10+I452*0.15+(1-J452)*0.10)</x:f>
      </x:c>
      <x:c r="L452" t="str">
        <x:f>IF(K452="","",IF(K452&gt;=0.90,"Preferred",IF(K452&gt;=0.80,"Approved",IF(K452&gt;=0.70,"Conditional",IF(K452&gt;=0.60,"Improvement Required","Replacement Candidate")))))</x:f>
      </x:c>
    </x:row>
    <x:row r="453">
      <x:c r="C453" s="42"/>
      <x:c r="D453" s="44"/>
      <x:c r="E453" s="44"/>
      <x:c r="F453" s="44"/>
      <x:c r="G453" s="44"/>
      <x:c r="I453" s="44"/>
      <x:c r="J453" s="44"/>
      <x:c r="K453" s="44" t="str">
        <x:f>IF(COUNTA(D453:J453)=0,"",D453*0.25+E453*0.10+F453*0.20+G453*0.10+(H453/5)*0.10+I453*0.15+(1-J453)*0.10)</x:f>
      </x:c>
      <x:c r="L453" t="str">
        <x:f>IF(K453="","",IF(K453&gt;=0.90,"Preferred",IF(K453&gt;=0.80,"Approved",IF(K453&gt;=0.70,"Conditional",IF(K453&gt;=0.60,"Improvement Required","Replacement Candidate")))))</x:f>
      </x:c>
    </x:row>
    <x:row r="454">
      <x:c r="C454" s="42"/>
      <x:c r="D454" s="44"/>
      <x:c r="E454" s="44"/>
      <x:c r="F454" s="44"/>
      <x:c r="G454" s="44"/>
      <x:c r="I454" s="44"/>
      <x:c r="J454" s="44"/>
      <x:c r="K454" s="44" t="str">
        <x:f>IF(COUNTA(D454:J454)=0,"",D454*0.25+E454*0.10+F454*0.20+G454*0.10+(H454/5)*0.10+I454*0.15+(1-J454)*0.10)</x:f>
      </x:c>
      <x:c r="L454" t="str">
        <x:f>IF(K454="","",IF(K454&gt;=0.90,"Preferred",IF(K454&gt;=0.80,"Approved",IF(K454&gt;=0.70,"Conditional",IF(K454&gt;=0.60,"Improvement Required","Replacement Candidate")))))</x:f>
      </x:c>
    </x:row>
    <x:row r="455">
      <x:c r="C455" s="42"/>
      <x:c r="D455" s="44"/>
      <x:c r="E455" s="44"/>
      <x:c r="F455" s="44"/>
      <x:c r="G455" s="44"/>
      <x:c r="I455" s="44"/>
      <x:c r="J455" s="44"/>
      <x:c r="K455" s="44" t="str">
        <x:f>IF(COUNTA(D455:J455)=0,"",D455*0.25+E455*0.10+F455*0.20+G455*0.10+(H455/5)*0.10+I455*0.15+(1-J455)*0.10)</x:f>
      </x:c>
      <x:c r="L455" t="str">
        <x:f>IF(K455="","",IF(K455&gt;=0.90,"Preferred",IF(K455&gt;=0.80,"Approved",IF(K455&gt;=0.70,"Conditional",IF(K455&gt;=0.60,"Improvement Required","Replacement Candidate")))))</x:f>
      </x:c>
    </x:row>
    <x:row r="456">
      <x:c r="C456" s="42"/>
      <x:c r="D456" s="44"/>
      <x:c r="E456" s="44"/>
      <x:c r="F456" s="44"/>
      <x:c r="G456" s="44"/>
      <x:c r="I456" s="44"/>
      <x:c r="J456" s="44"/>
      <x:c r="K456" s="44" t="str">
        <x:f>IF(COUNTA(D456:J456)=0,"",D456*0.25+E456*0.10+F456*0.20+G456*0.10+(H456/5)*0.10+I456*0.15+(1-J456)*0.10)</x:f>
      </x:c>
      <x:c r="L456" t="str">
        <x:f>IF(K456="","",IF(K456&gt;=0.90,"Preferred",IF(K456&gt;=0.80,"Approved",IF(K456&gt;=0.70,"Conditional",IF(K456&gt;=0.60,"Improvement Required","Replacement Candidate")))))</x:f>
      </x:c>
    </x:row>
    <x:row r="457">
      <x:c r="C457" s="42"/>
      <x:c r="D457" s="44"/>
      <x:c r="E457" s="44"/>
      <x:c r="F457" s="44"/>
      <x:c r="G457" s="44"/>
      <x:c r="I457" s="44"/>
      <x:c r="J457" s="44"/>
      <x:c r="K457" s="44" t="str">
        <x:f>IF(COUNTA(D457:J457)=0,"",D457*0.25+E457*0.10+F457*0.20+G457*0.10+(H457/5)*0.10+I457*0.15+(1-J457)*0.10)</x:f>
      </x:c>
      <x:c r="L457" t="str">
        <x:f>IF(K457="","",IF(K457&gt;=0.90,"Preferred",IF(K457&gt;=0.80,"Approved",IF(K457&gt;=0.70,"Conditional",IF(K457&gt;=0.60,"Improvement Required","Replacement Candidate")))))</x:f>
      </x:c>
    </x:row>
    <x:row r="458">
      <x:c r="C458" s="42"/>
      <x:c r="D458" s="44"/>
      <x:c r="E458" s="44"/>
      <x:c r="F458" s="44"/>
      <x:c r="G458" s="44"/>
      <x:c r="I458" s="44"/>
      <x:c r="J458" s="44"/>
      <x:c r="K458" s="44" t="str">
        <x:f>IF(COUNTA(D458:J458)=0,"",D458*0.25+E458*0.10+F458*0.20+G458*0.10+(H458/5)*0.10+I458*0.15+(1-J458)*0.10)</x:f>
      </x:c>
      <x:c r="L458" t="str">
        <x:f>IF(K458="","",IF(K458&gt;=0.90,"Preferred",IF(K458&gt;=0.80,"Approved",IF(K458&gt;=0.70,"Conditional",IF(K458&gt;=0.60,"Improvement Required","Replacement Candidate")))))</x:f>
      </x:c>
    </x:row>
    <x:row r="459">
      <x:c r="C459" s="42"/>
      <x:c r="D459" s="44"/>
      <x:c r="E459" s="44"/>
      <x:c r="F459" s="44"/>
      <x:c r="G459" s="44"/>
      <x:c r="I459" s="44"/>
      <x:c r="J459" s="44"/>
      <x:c r="K459" s="44" t="str">
        <x:f>IF(COUNTA(D459:J459)=0,"",D459*0.25+E459*0.10+F459*0.20+G459*0.10+(H459/5)*0.10+I459*0.15+(1-J459)*0.10)</x:f>
      </x:c>
      <x:c r="L459" t="str">
        <x:f>IF(K459="","",IF(K459&gt;=0.90,"Preferred",IF(K459&gt;=0.80,"Approved",IF(K459&gt;=0.70,"Conditional",IF(K459&gt;=0.60,"Improvement Required","Replacement Candidate")))))</x:f>
      </x:c>
    </x:row>
    <x:row r="460">
      <x:c r="C460" s="42"/>
      <x:c r="D460" s="44"/>
      <x:c r="E460" s="44"/>
      <x:c r="F460" s="44"/>
      <x:c r="G460" s="44"/>
      <x:c r="I460" s="44"/>
      <x:c r="J460" s="44"/>
      <x:c r="K460" s="44" t="str">
        <x:f>IF(COUNTA(D460:J460)=0,"",D460*0.25+E460*0.10+F460*0.20+G460*0.10+(H460/5)*0.10+I460*0.15+(1-J460)*0.10)</x:f>
      </x:c>
      <x:c r="L460" t="str">
        <x:f>IF(K460="","",IF(K460&gt;=0.90,"Preferred",IF(K460&gt;=0.80,"Approved",IF(K460&gt;=0.70,"Conditional",IF(K460&gt;=0.60,"Improvement Required","Replacement Candidate")))))</x:f>
      </x:c>
    </x:row>
    <x:row r="461">
      <x:c r="C461" s="42"/>
      <x:c r="D461" s="44"/>
      <x:c r="E461" s="44"/>
      <x:c r="F461" s="44"/>
      <x:c r="G461" s="44"/>
      <x:c r="I461" s="44"/>
      <x:c r="J461" s="44"/>
      <x:c r="K461" s="44" t="str">
        <x:f>IF(COUNTA(D461:J461)=0,"",D461*0.25+E461*0.10+F461*0.20+G461*0.10+(H461/5)*0.10+I461*0.15+(1-J461)*0.10)</x:f>
      </x:c>
      <x:c r="L461" t="str">
        <x:f>IF(K461="","",IF(K461&gt;=0.90,"Preferred",IF(K461&gt;=0.80,"Approved",IF(K461&gt;=0.70,"Conditional",IF(K461&gt;=0.60,"Improvement Required","Replacement Candidate")))))</x:f>
      </x:c>
    </x:row>
    <x:row r="462">
      <x:c r="C462" s="42"/>
      <x:c r="D462" s="44"/>
      <x:c r="E462" s="44"/>
      <x:c r="F462" s="44"/>
      <x:c r="G462" s="44"/>
      <x:c r="I462" s="44"/>
      <x:c r="J462" s="44"/>
      <x:c r="K462" s="44" t="str">
        <x:f>IF(COUNTA(D462:J462)=0,"",D462*0.25+E462*0.10+F462*0.20+G462*0.10+(H462/5)*0.10+I462*0.15+(1-J462)*0.10)</x:f>
      </x:c>
      <x:c r="L462" t="str">
        <x:f>IF(K462="","",IF(K462&gt;=0.90,"Preferred",IF(K462&gt;=0.80,"Approved",IF(K462&gt;=0.70,"Conditional",IF(K462&gt;=0.60,"Improvement Required","Replacement Candidate")))))</x:f>
      </x:c>
    </x:row>
    <x:row r="463">
      <x:c r="C463" s="42"/>
      <x:c r="D463" s="44"/>
      <x:c r="E463" s="44"/>
      <x:c r="F463" s="44"/>
      <x:c r="G463" s="44"/>
      <x:c r="I463" s="44"/>
      <x:c r="J463" s="44"/>
      <x:c r="K463" s="44" t="str">
        <x:f>IF(COUNTA(D463:J463)=0,"",D463*0.25+E463*0.10+F463*0.20+G463*0.10+(H463/5)*0.10+I463*0.15+(1-J463)*0.10)</x:f>
      </x:c>
      <x:c r="L463" t="str">
        <x:f>IF(K463="","",IF(K463&gt;=0.90,"Preferred",IF(K463&gt;=0.80,"Approved",IF(K463&gt;=0.70,"Conditional",IF(K463&gt;=0.60,"Improvement Required","Replacement Candidate")))))</x:f>
      </x:c>
    </x:row>
    <x:row r="464">
      <x:c r="C464" s="42"/>
      <x:c r="D464" s="44"/>
      <x:c r="E464" s="44"/>
      <x:c r="F464" s="44"/>
      <x:c r="G464" s="44"/>
      <x:c r="I464" s="44"/>
      <x:c r="J464" s="44"/>
      <x:c r="K464" s="44" t="str">
        <x:f>IF(COUNTA(D464:J464)=0,"",D464*0.25+E464*0.10+F464*0.20+G464*0.10+(H464/5)*0.10+I464*0.15+(1-J464)*0.10)</x:f>
      </x:c>
      <x:c r="L464" t="str">
        <x:f>IF(K464="","",IF(K464&gt;=0.90,"Preferred",IF(K464&gt;=0.80,"Approved",IF(K464&gt;=0.70,"Conditional",IF(K464&gt;=0.60,"Improvement Required","Replacement Candidate")))))</x:f>
      </x:c>
    </x:row>
    <x:row r="465">
      <x:c r="C465" s="42"/>
      <x:c r="D465" s="44"/>
      <x:c r="E465" s="44"/>
      <x:c r="F465" s="44"/>
      <x:c r="G465" s="44"/>
      <x:c r="I465" s="44"/>
      <x:c r="J465" s="44"/>
      <x:c r="K465" s="44" t="str">
        <x:f>IF(COUNTA(D465:J465)=0,"",D465*0.25+E465*0.10+F465*0.20+G465*0.10+(H465/5)*0.10+I465*0.15+(1-J465)*0.10)</x:f>
      </x:c>
      <x:c r="L465" t="str">
        <x:f>IF(K465="","",IF(K465&gt;=0.90,"Preferred",IF(K465&gt;=0.80,"Approved",IF(K465&gt;=0.70,"Conditional",IF(K465&gt;=0.60,"Improvement Required","Replacement Candidate")))))</x:f>
      </x:c>
    </x:row>
    <x:row r="466">
      <x:c r="C466" s="42"/>
      <x:c r="D466" s="44"/>
      <x:c r="E466" s="44"/>
      <x:c r="F466" s="44"/>
      <x:c r="G466" s="44"/>
      <x:c r="I466" s="44"/>
      <x:c r="J466" s="44"/>
      <x:c r="K466" s="44" t="str">
        <x:f>IF(COUNTA(D466:J466)=0,"",D466*0.25+E466*0.10+F466*0.20+G466*0.10+(H466/5)*0.10+I466*0.15+(1-J466)*0.10)</x:f>
      </x:c>
      <x:c r="L466" t="str">
        <x:f>IF(K466="","",IF(K466&gt;=0.90,"Preferred",IF(K466&gt;=0.80,"Approved",IF(K466&gt;=0.70,"Conditional",IF(K466&gt;=0.60,"Improvement Required","Replacement Candidate")))))</x:f>
      </x:c>
    </x:row>
    <x:row r="467">
      <x:c r="C467" s="42"/>
      <x:c r="D467" s="44"/>
      <x:c r="E467" s="44"/>
      <x:c r="F467" s="44"/>
      <x:c r="G467" s="44"/>
      <x:c r="I467" s="44"/>
      <x:c r="J467" s="44"/>
      <x:c r="K467" s="44" t="str">
        <x:f>IF(COUNTA(D467:J467)=0,"",D467*0.25+E467*0.10+F467*0.20+G467*0.10+(H467/5)*0.10+I467*0.15+(1-J467)*0.10)</x:f>
      </x:c>
      <x:c r="L467" t="str">
        <x:f>IF(K467="","",IF(K467&gt;=0.90,"Preferred",IF(K467&gt;=0.80,"Approved",IF(K467&gt;=0.70,"Conditional",IF(K467&gt;=0.60,"Improvement Required","Replacement Candidate")))))</x:f>
      </x:c>
    </x:row>
    <x:row r="468">
      <x:c r="C468" s="42"/>
      <x:c r="D468" s="44"/>
      <x:c r="E468" s="44"/>
      <x:c r="F468" s="44"/>
      <x:c r="G468" s="44"/>
      <x:c r="I468" s="44"/>
      <x:c r="J468" s="44"/>
      <x:c r="K468" s="44" t="str">
        <x:f>IF(COUNTA(D468:J468)=0,"",D468*0.25+E468*0.10+F468*0.20+G468*0.10+(H468/5)*0.10+I468*0.15+(1-J468)*0.10)</x:f>
      </x:c>
      <x:c r="L468" t="str">
        <x:f>IF(K468="","",IF(K468&gt;=0.90,"Preferred",IF(K468&gt;=0.80,"Approved",IF(K468&gt;=0.70,"Conditional",IF(K468&gt;=0.60,"Improvement Required","Replacement Candidate")))))</x:f>
      </x:c>
    </x:row>
    <x:row r="469">
      <x:c r="C469" s="42"/>
      <x:c r="D469" s="44"/>
      <x:c r="E469" s="44"/>
      <x:c r="F469" s="44"/>
      <x:c r="G469" s="44"/>
      <x:c r="I469" s="44"/>
      <x:c r="J469" s="44"/>
      <x:c r="K469" s="44" t="str">
        <x:f>IF(COUNTA(D469:J469)=0,"",D469*0.25+E469*0.10+F469*0.20+G469*0.10+(H469/5)*0.10+I469*0.15+(1-J469)*0.10)</x:f>
      </x:c>
      <x:c r="L469" t="str">
        <x:f>IF(K469="","",IF(K469&gt;=0.90,"Preferred",IF(K469&gt;=0.80,"Approved",IF(K469&gt;=0.70,"Conditional",IF(K469&gt;=0.60,"Improvement Required","Replacement Candidate")))))</x:f>
      </x:c>
    </x:row>
    <x:row r="470">
      <x:c r="C470" s="42"/>
      <x:c r="D470" s="44"/>
      <x:c r="E470" s="44"/>
      <x:c r="F470" s="44"/>
      <x:c r="G470" s="44"/>
      <x:c r="I470" s="44"/>
      <x:c r="J470" s="44"/>
      <x:c r="K470" s="44" t="str">
        <x:f>IF(COUNTA(D470:J470)=0,"",D470*0.25+E470*0.10+F470*0.20+G470*0.10+(H470/5)*0.10+I470*0.15+(1-J470)*0.10)</x:f>
      </x:c>
      <x:c r="L470" t="str">
        <x:f>IF(K470="","",IF(K470&gt;=0.90,"Preferred",IF(K470&gt;=0.80,"Approved",IF(K470&gt;=0.70,"Conditional",IF(K470&gt;=0.60,"Improvement Required","Replacement Candidate")))))</x:f>
      </x:c>
    </x:row>
    <x:row r="471">
      <x:c r="C471" s="42"/>
      <x:c r="D471" s="44"/>
      <x:c r="E471" s="44"/>
      <x:c r="F471" s="44"/>
      <x:c r="G471" s="44"/>
      <x:c r="I471" s="44"/>
      <x:c r="J471" s="44"/>
      <x:c r="K471" s="44" t="str">
        <x:f>IF(COUNTA(D471:J471)=0,"",D471*0.25+E471*0.10+F471*0.20+G471*0.10+(H471/5)*0.10+I471*0.15+(1-J471)*0.10)</x:f>
      </x:c>
      <x:c r="L471" t="str">
        <x:f>IF(K471="","",IF(K471&gt;=0.90,"Preferred",IF(K471&gt;=0.80,"Approved",IF(K471&gt;=0.70,"Conditional",IF(K471&gt;=0.60,"Improvement Required","Replacement Candidate")))))</x:f>
      </x:c>
    </x:row>
    <x:row r="472">
      <x:c r="C472" s="42"/>
      <x:c r="D472" s="44"/>
      <x:c r="E472" s="44"/>
      <x:c r="F472" s="44"/>
      <x:c r="G472" s="44"/>
      <x:c r="I472" s="44"/>
      <x:c r="J472" s="44"/>
      <x:c r="K472" s="44" t="str">
        <x:f>IF(COUNTA(D472:J472)=0,"",D472*0.25+E472*0.10+F472*0.20+G472*0.10+(H472/5)*0.10+I472*0.15+(1-J472)*0.10)</x:f>
      </x:c>
      <x:c r="L472" t="str">
        <x:f>IF(K472="","",IF(K472&gt;=0.90,"Preferred",IF(K472&gt;=0.80,"Approved",IF(K472&gt;=0.70,"Conditional",IF(K472&gt;=0.60,"Improvement Required","Replacement Candidate")))))</x:f>
      </x:c>
    </x:row>
    <x:row r="473">
      <x:c r="C473" s="42"/>
      <x:c r="D473" s="44"/>
      <x:c r="E473" s="44"/>
      <x:c r="F473" s="44"/>
      <x:c r="G473" s="44"/>
      <x:c r="I473" s="44"/>
      <x:c r="J473" s="44"/>
      <x:c r="K473" s="44" t="str">
        <x:f>IF(COUNTA(D473:J473)=0,"",D473*0.25+E473*0.10+F473*0.20+G473*0.10+(H473/5)*0.10+I473*0.15+(1-J473)*0.10)</x:f>
      </x:c>
      <x:c r="L473" t="str">
        <x:f>IF(K473="","",IF(K473&gt;=0.90,"Preferred",IF(K473&gt;=0.80,"Approved",IF(K473&gt;=0.70,"Conditional",IF(K473&gt;=0.60,"Improvement Required","Replacement Candidate")))))</x:f>
      </x:c>
    </x:row>
    <x:row r="474">
      <x:c r="C474" s="42"/>
      <x:c r="D474" s="44"/>
      <x:c r="E474" s="44"/>
      <x:c r="F474" s="44"/>
      <x:c r="G474" s="44"/>
      <x:c r="I474" s="44"/>
      <x:c r="J474" s="44"/>
      <x:c r="K474" s="44" t="str">
        <x:f>IF(COUNTA(D474:J474)=0,"",D474*0.25+E474*0.10+F474*0.20+G474*0.10+(H474/5)*0.10+I474*0.15+(1-J474)*0.10)</x:f>
      </x:c>
      <x:c r="L474" t="str">
        <x:f>IF(K474="","",IF(K474&gt;=0.90,"Preferred",IF(K474&gt;=0.80,"Approved",IF(K474&gt;=0.70,"Conditional",IF(K474&gt;=0.60,"Improvement Required","Replacement Candidate")))))</x:f>
      </x:c>
    </x:row>
    <x:row r="475">
      <x:c r="C475" s="42"/>
      <x:c r="D475" s="44"/>
      <x:c r="E475" s="44"/>
      <x:c r="F475" s="44"/>
      <x:c r="G475" s="44"/>
      <x:c r="I475" s="44"/>
      <x:c r="J475" s="44"/>
      <x:c r="K475" s="44" t="str">
        <x:f>IF(COUNTA(D475:J475)=0,"",D475*0.25+E475*0.10+F475*0.20+G475*0.10+(H475/5)*0.10+I475*0.15+(1-J475)*0.10)</x:f>
      </x:c>
      <x:c r="L475" t="str">
        <x:f>IF(K475="","",IF(K475&gt;=0.90,"Preferred",IF(K475&gt;=0.80,"Approved",IF(K475&gt;=0.70,"Conditional",IF(K475&gt;=0.60,"Improvement Required","Replacement Candidate")))))</x:f>
      </x:c>
    </x:row>
    <x:row r="476">
      <x:c r="C476" s="42"/>
      <x:c r="D476" s="44"/>
      <x:c r="E476" s="44"/>
      <x:c r="F476" s="44"/>
      <x:c r="G476" s="44"/>
      <x:c r="I476" s="44"/>
      <x:c r="J476" s="44"/>
      <x:c r="K476" s="44" t="str">
        <x:f>IF(COUNTA(D476:J476)=0,"",D476*0.25+E476*0.10+F476*0.20+G476*0.10+(H476/5)*0.10+I476*0.15+(1-J476)*0.10)</x:f>
      </x:c>
      <x:c r="L476" t="str">
        <x:f>IF(K476="","",IF(K476&gt;=0.90,"Preferred",IF(K476&gt;=0.80,"Approved",IF(K476&gt;=0.70,"Conditional",IF(K476&gt;=0.60,"Improvement Required","Replacement Candidate")))))</x:f>
      </x:c>
    </x:row>
    <x:row r="477">
      <x:c r="C477" s="42"/>
      <x:c r="D477" s="44"/>
      <x:c r="E477" s="44"/>
      <x:c r="F477" s="44"/>
      <x:c r="G477" s="44"/>
      <x:c r="I477" s="44"/>
      <x:c r="J477" s="44"/>
      <x:c r="K477" s="44" t="str">
        <x:f>IF(COUNTA(D477:J477)=0,"",D477*0.25+E477*0.10+F477*0.20+G477*0.10+(H477/5)*0.10+I477*0.15+(1-J477)*0.10)</x:f>
      </x:c>
      <x:c r="L477" t="str">
        <x:f>IF(K477="","",IF(K477&gt;=0.90,"Preferred",IF(K477&gt;=0.80,"Approved",IF(K477&gt;=0.70,"Conditional",IF(K477&gt;=0.60,"Improvement Required","Replacement Candidate")))))</x:f>
      </x:c>
    </x:row>
    <x:row r="478">
      <x:c r="C478" s="42"/>
      <x:c r="D478" s="44"/>
      <x:c r="E478" s="44"/>
      <x:c r="F478" s="44"/>
      <x:c r="G478" s="44"/>
      <x:c r="I478" s="44"/>
      <x:c r="J478" s="44"/>
      <x:c r="K478" s="44" t="str">
        <x:f>IF(COUNTA(D478:J478)=0,"",D478*0.25+E478*0.10+F478*0.20+G478*0.10+(H478/5)*0.10+I478*0.15+(1-J478)*0.10)</x:f>
      </x:c>
      <x:c r="L478" t="str">
        <x:f>IF(K478="","",IF(K478&gt;=0.90,"Preferred",IF(K478&gt;=0.80,"Approved",IF(K478&gt;=0.70,"Conditional",IF(K478&gt;=0.60,"Improvement Required","Replacement Candidate")))))</x:f>
      </x:c>
    </x:row>
    <x:row r="479">
      <x:c r="C479" s="42"/>
      <x:c r="D479" s="44"/>
      <x:c r="E479" s="44"/>
      <x:c r="F479" s="44"/>
      <x:c r="G479" s="44"/>
      <x:c r="I479" s="44"/>
      <x:c r="J479" s="44"/>
      <x:c r="K479" s="44" t="str">
        <x:f>IF(COUNTA(D479:J479)=0,"",D479*0.25+E479*0.10+F479*0.20+G479*0.10+(H479/5)*0.10+I479*0.15+(1-J479)*0.10)</x:f>
      </x:c>
      <x:c r="L479" t="str">
        <x:f>IF(K479="","",IF(K479&gt;=0.90,"Preferred",IF(K479&gt;=0.80,"Approved",IF(K479&gt;=0.70,"Conditional",IF(K479&gt;=0.60,"Improvement Required","Replacement Candidate")))))</x:f>
      </x:c>
    </x:row>
    <x:row r="480">
      <x:c r="C480" s="42"/>
      <x:c r="D480" s="44"/>
      <x:c r="E480" s="44"/>
      <x:c r="F480" s="44"/>
      <x:c r="G480" s="44"/>
      <x:c r="I480" s="44"/>
      <x:c r="J480" s="44"/>
      <x:c r="K480" s="44" t="str">
        <x:f>IF(COUNTA(D480:J480)=0,"",D480*0.25+E480*0.10+F480*0.20+G480*0.10+(H480/5)*0.10+I480*0.15+(1-J480)*0.10)</x:f>
      </x:c>
      <x:c r="L480" t="str">
        <x:f>IF(K480="","",IF(K480&gt;=0.90,"Preferred",IF(K480&gt;=0.80,"Approved",IF(K480&gt;=0.70,"Conditional",IF(K480&gt;=0.60,"Improvement Required","Replacement Candidate")))))</x:f>
      </x:c>
    </x:row>
    <x:row r="481">
      <x:c r="C481" s="42"/>
      <x:c r="D481" s="44"/>
      <x:c r="E481" s="44"/>
      <x:c r="F481" s="44"/>
      <x:c r="G481" s="44"/>
      <x:c r="I481" s="44"/>
      <x:c r="J481" s="44"/>
      <x:c r="K481" s="44" t="str">
        <x:f>IF(COUNTA(D481:J481)=0,"",D481*0.25+E481*0.10+F481*0.20+G481*0.10+(H481/5)*0.10+I481*0.15+(1-J481)*0.10)</x:f>
      </x:c>
      <x:c r="L481" t="str">
        <x:f>IF(K481="","",IF(K481&gt;=0.90,"Preferred",IF(K481&gt;=0.80,"Approved",IF(K481&gt;=0.70,"Conditional",IF(K481&gt;=0.60,"Improvement Required","Replacement Candidate")))))</x:f>
      </x:c>
    </x:row>
    <x:row r="482">
      <x:c r="C482" s="42"/>
      <x:c r="D482" s="44"/>
      <x:c r="E482" s="44"/>
      <x:c r="F482" s="44"/>
      <x:c r="G482" s="44"/>
      <x:c r="I482" s="44"/>
      <x:c r="J482" s="44"/>
      <x:c r="K482" s="44" t="str">
        <x:f>IF(COUNTA(D482:J482)=0,"",D482*0.25+E482*0.10+F482*0.20+G482*0.10+(H482/5)*0.10+I482*0.15+(1-J482)*0.10)</x:f>
      </x:c>
      <x:c r="L482" t="str">
        <x:f>IF(K482="","",IF(K482&gt;=0.90,"Preferred",IF(K482&gt;=0.80,"Approved",IF(K482&gt;=0.70,"Conditional",IF(K482&gt;=0.60,"Improvement Required","Replacement Candidate")))))</x:f>
      </x:c>
    </x:row>
    <x:row r="483">
      <x:c r="C483" s="42"/>
      <x:c r="D483" s="44"/>
      <x:c r="E483" s="44"/>
      <x:c r="F483" s="44"/>
      <x:c r="G483" s="44"/>
      <x:c r="I483" s="44"/>
      <x:c r="J483" s="44"/>
      <x:c r="K483" s="44" t="str">
        <x:f>IF(COUNTA(D483:J483)=0,"",D483*0.25+E483*0.10+F483*0.20+G483*0.10+(H483/5)*0.10+I483*0.15+(1-J483)*0.10)</x:f>
      </x:c>
      <x:c r="L483" t="str">
        <x:f>IF(K483="","",IF(K483&gt;=0.90,"Preferred",IF(K483&gt;=0.80,"Approved",IF(K483&gt;=0.70,"Conditional",IF(K483&gt;=0.60,"Improvement Required","Replacement Candidate")))))</x:f>
      </x:c>
    </x:row>
    <x:row r="484">
      <x:c r="C484" s="42"/>
      <x:c r="D484" s="44"/>
      <x:c r="E484" s="44"/>
      <x:c r="F484" s="44"/>
      <x:c r="G484" s="44"/>
      <x:c r="I484" s="44"/>
      <x:c r="J484" s="44"/>
      <x:c r="K484" s="44" t="str">
        <x:f>IF(COUNTA(D484:J484)=0,"",D484*0.25+E484*0.10+F484*0.20+G484*0.10+(H484/5)*0.10+I484*0.15+(1-J484)*0.10)</x:f>
      </x:c>
      <x:c r="L484" t="str">
        <x:f>IF(K484="","",IF(K484&gt;=0.90,"Preferred",IF(K484&gt;=0.80,"Approved",IF(K484&gt;=0.70,"Conditional",IF(K484&gt;=0.60,"Improvement Required","Replacement Candidate")))))</x:f>
      </x:c>
    </x:row>
    <x:row r="485">
      <x:c r="C485" s="42"/>
      <x:c r="D485" s="44"/>
      <x:c r="E485" s="44"/>
      <x:c r="F485" s="44"/>
      <x:c r="G485" s="44"/>
      <x:c r="I485" s="44"/>
      <x:c r="J485" s="44"/>
      <x:c r="K485" s="44" t="str">
        <x:f>IF(COUNTA(D485:J485)=0,"",D485*0.25+E485*0.10+F485*0.20+G485*0.10+(H485/5)*0.10+I485*0.15+(1-J485)*0.10)</x:f>
      </x:c>
      <x:c r="L485" t="str">
        <x:f>IF(K485="","",IF(K485&gt;=0.90,"Preferred",IF(K485&gt;=0.80,"Approved",IF(K485&gt;=0.70,"Conditional",IF(K485&gt;=0.60,"Improvement Required","Replacement Candidate")))))</x:f>
      </x:c>
    </x:row>
    <x:row r="486">
      <x:c r="C486" s="42"/>
      <x:c r="D486" s="44"/>
      <x:c r="E486" s="44"/>
      <x:c r="F486" s="44"/>
      <x:c r="G486" s="44"/>
      <x:c r="I486" s="44"/>
      <x:c r="J486" s="44"/>
      <x:c r="K486" s="44" t="str">
        <x:f>IF(COUNTA(D486:J486)=0,"",D486*0.25+E486*0.10+F486*0.20+G486*0.10+(H486/5)*0.10+I486*0.15+(1-J486)*0.10)</x:f>
      </x:c>
      <x:c r="L486" t="str">
        <x:f>IF(K486="","",IF(K486&gt;=0.90,"Preferred",IF(K486&gt;=0.80,"Approved",IF(K486&gt;=0.70,"Conditional",IF(K486&gt;=0.60,"Improvement Required","Replacement Candidate")))))</x:f>
      </x:c>
    </x:row>
    <x:row r="487">
      <x:c r="C487" s="42"/>
      <x:c r="D487" s="44"/>
      <x:c r="E487" s="44"/>
      <x:c r="F487" s="44"/>
      <x:c r="G487" s="44"/>
      <x:c r="I487" s="44"/>
      <x:c r="J487" s="44"/>
      <x:c r="K487" s="44" t="str">
        <x:f>IF(COUNTA(D487:J487)=0,"",D487*0.25+E487*0.10+F487*0.20+G487*0.10+(H487/5)*0.10+I487*0.15+(1-J487)*0.10)</x:f>
      </x:c>
      <x:c r="L487" t="str">
        <x:f>IF(K487="","",IF(K487&gt;=0.90,"Preferred",IF(K487&gt;=0.80,"Approved",IF(K487&gt;=0.70,"Conditional",IF(K487&gt;=0.60,"Improvement Required","Replacement Candidate")))))</x:f>
      </x:c>
    </x:row>
    <x:row r="488">
      <x:c r="C488" s="42"/>
      <x:c r="D488" s="44"/>
      <x:c r="E488" s="44"/>
      <x:c r="F488" s="44"/>
      <x:c r="G488" s="44"/>
      <x:c r="I488" s="44"/>
      <x:c r="J488" s="44"/>
      <x:c r="K488" s="44" t="str">
        <x:f>IF(COUNTA(D488:J488)=0,"",D488*0.25+E488*0.10+F488*0.20+G488*0.10+(H488/5)*0.10+I488*0.15+(1-J488)*0.10)</x:f>
      </x:c>
      <x:c r="L488" t="str">
        <x:f>IF(K488="","",IF(K488&gt;=0.90,"Preferred",IF(K488&gt;=0.80,"Approved",IF(K488&gt;=0.70,"Conditional",IF(K488&gt;=0.60,"Improvement Required","Replacement Candidate")))))</x:f>
      </x:c>
    </x:row>
    <x:row r="489">
      <x:c r="C489" s="42"/>
      <x:c r="D489" s="44"/>
      <x:c r="E489" s="44"/>
      <x:c r="F489" s="44"/>
      <x:c r="G489" s="44"/>
      <x:c r="I489" s="44"/>
      <x:c r="J489" s="44"/>
      <x:c r="K489" s="44" t="str">
        <x:f>IF(COUNTA(D489:J489)=0,"",D489*0.25+E489*0.10+F489*0.20+G489*0.10+(H489/5)*0.10+I489*0.15+(1-J489)*0.10)</x:f>
      </x:c>
      <x:c r="L489" t="str">
        <x:f>IF(K489="","",IF(K489&gt;=0.90,"Preferred",IF(K489&gt;=0.80,"Approved",IF(K489&gt;=0.70,"Conditional",IF(K489&gt;=0.60,"Improvement Required","Replacement Candidate")))))</x:f>
      </x:c>
    </x:row>
    <x:row r="490">
      <x:c r="C490" s="42"/>
      <x:c r="D490" s="44"/>
      <x:c r="E490" s="44"/>
      <x:c r="F490" s="44"/>
      <x:c r="G490" s="44"/>
      <x:c r="I490" s="44"/>
      <x:c r="J490" s="44"/>
      <x:c r="K490" s="44" t="str">
        <x:f>IF(COUNTA(D490:J490)=0,"",D490*0.25+E490*0.10+F490*0.20+G490*0.10+(H490/5)*0.10+I490*0.15+(1-J490)*0.10)</x:f>
      </x:c>
      <x:c r="L490" t="str">
        <x:f>IF(K490="","",IF(K490&gt;=0.90,"Preferred",IF(K490&gt;=0.80,"Approved",IF(K490&gt;=0.70,"Conditional",IF(K490&gt;=0.60,"Improvement Required","Replacement Candidate")))))</x:f>
      </x:c>
    </x:row>
    <x:row r="491">
      <x:c r="C491" s="42"/>
      <x:c r="D491" s="44"/>
      <x:c r="E491" s="44"/>
      <x:c r="F491" s="44"/>
      <x:c r="G491" s="44"/>
      <x:c r="I491" s="44"/>
      <x:c r="J491" s="44"/>
      <x:c r="K491" s="44" t="str">
        <x:f>IF(COUNTA(D491:J491)=0,"",D491*0.25+E491*0.10+F491*0.20+G491*0.10+(H491/5)*0.10+I491*0.15+(1-J491)*0.10)</x:f>
      </x:c>
      <x:c r="L491" t="str">
        <x:f>IF(K491="","",IF(K491&gt;=0.90,"Preferred",IF(K491&gt;=0.80,"Approved",IF(K491&gt;=0.70,"Conditional",IF(K491&gt;=0.60,"Improvement Required","Replacement Candidate")))))</x:f>
      </x:c>
    </x:row>
    <x:row r="492">
      <x:c r="C492" s="42"/>
      <x:c r="D492" s="44"/>
      <x:c r="E492" s="44"/>
      <x:c r="F492" s="44"/>
      <x:c r="G492" s="44"/>
      <x:c r="I492" s="44"/>
      <x:c r="J492" s="44"/>
      <x:c r="K492" s="44" t="str">
        <x:f>IF(COUNTA(D492:J492)=0,"",D492*0.25+E492*0.10+F492*0.20+G492*0.10+(H492/5)*0.10+I492*0.15+(1-J492)*0.10)</x:f>
      </x:c>
      <x:c r="L492" t="str">
        <x:f>IF(K492="","",IF(K492&gt;=0.90,"Preferred",IF(K492&gt;=0.80,"Approved",IF(K492&gt;=0.70,"Conditional",IF(K492&gt;=0.60,"Improvement Required","Replacement Candidate")))))</x:f>
      </x:c>
    </x:row>
    <x:row r="493">
      <x:c r="C493" s="42"/>
      <x:c r="D493" s="44"/>
      <x:c r="E493" s="44"/>
      <x:c r="F493" s="44"/>
      <x:c r="G493" s="44"/>
      <x:c r="I493" s="44"/>
      <x:c r="J493" s="44"/>
      <x:c r="K493" s="44" t="str">
        <x:f>IF(COUNTA(D493:J493)=0,"",D493*0.25+E493*0.10+F493*0.20+G493*0.10+(H493/5)*0.10+I493*0.15+(1-J493)*0.10)</x:f>
      </x:c>
      <x:c r="L493" t="str">
        <x:f>IF(K493="","",IF(K493&gt;=0.90,"Preferred",IF(K493&gt;=0.80,"Approved",IF(K493&gt;=0.70,"Conditional",IF(K493&gt;=0.60,"Improvement Required","Replacement Candidate")))))</x:f>
      </x:c>
    </x:row>
    <x:row r="494">
      <x:c r="C494" s="42"/>
      <x:c r="D494" s="44"/>
      <x:c r="E494" s="44"/>
      <x:c r="F494" s="44"/>
      <x:c r="G494" s="44"/>
      <x:c r="I494" s="44"/>
      <x:c r="J494" s="44"/>
      <x:c r="K494" s="44" t="str">
        <x:f>IF(COUNTA(D494:J494)=0,"",D494*0.25+E494*0.10+F494*0.20+G494*0.10+(H494/5)*0.10+I494*0.15+(1-J494)*0.10)</x:f>
      </x:c>
      <x:c r="L494" t="str">
        <x:f>IF(K494="","",IF(K494&gt;=0.90,"Preferred",IF(K494&gt;=0.80,"Approved",IF(K494&gt;=0.70,"Conditional",IF(K494&gt;=0.60,"Improvement Required","Replacement Candidate")))))</x:f>
      </x:c>
    </x:row>
    <x:row r="495">
      <x:c r="C495" s="42"/>
      <x:c r="D495" s="44"/>
      <x:c r="E495" s="44"/>
      <x:c r="F495" s="44"/>
      <x:c r="G495" s="44"/>
      <x:c r="I495" s="44"/>
      <x:c r="J495" s="44"/>
      <x:c r="K495" s="44" t="str">
        <x:f>IF(COUNTA(D495:J495)=0,"",D495*0.25+E495*0.10+F495*0.20+G495*0.10+(H495/5)*0.10+I495*0.15+(1-J495)*0.10)</x:f>
      </x:c>
      <x:c r="L495" t="str">
        <x:f>IF(K495="","",IF(K495&gt;=0.90,"Preferred",IF(K495&gt;=0.80,"Approved",IF(K495&gt;=0.70,"Conditional",IF(K495&gt;=0.60,"Improvement Required","Replacement Candidate")))))</x:f>
      </x:c>
    </x:row>
    <x:row r="496">
      <x:c r="C496" s="42"/>
      <x:c r="D496" s="44"/>
      <x:c r="E496" s="44"/>
      <x:c r="F496" s="44"/>
      <x:c r="G496" s="44"/>
      <x:c r="I496" s="44"/>
      <x:c r="J496" s="44"/>
      <x:c r="K496" s="44" t="str">
        <x:f>IF(COUNTA(D496:J496)=0,"",D496*0.25+E496*0.10+F496*0.20+G496*0.10+(H496/5)*0.10+I496*0.15+(1-J496)*0.10)</x:f>
      </x:c>
      <x:c r="L496" t="str">
        <x:f>IF(K496="","",IF(K496&gt;=0.90,"Preferred",IF(K496&gt;=0.80,"Approved",IF(K496&gt;=0.70,"Conditional",IF(K496&gt;=0.60,"Improvement Required","Replacement Candidate")))))</x:f>
      </x:c>
    </x:row>
    <x:row r="497">
      <x:c r="C497" s="42"/>
      <x:c r="D497" s="44"/>
      <x:c r="E497" s="44"/>
      <x:c r="F497" s="44"/>
      <x:c r="G497" s="44"/>
      <x:c r="I497" s="44"/>
      <x:c r="J497" s="44"/>
      <x:c r="K497" s="44" t="str">
        <x:f>IF(COUNTA(D497:J497)=0,"",D497*0.25+E497*0.10+F497*0.20+G497*0.10+(H497/5)*0.10+I497*0.15+(1-J497)*0.10)</x:f>
      </x:c>
      <x:c r="L497" t="str">
        <x:f>IF(K497="","",IF(K497&gt;=0.90,"Preferred",IF(K497&gt;=0.80,"Approved",IF(K497&gt;=0.70,"Conditional",IF(K497&gt;=0.60,"Improvement Required","Replacement Candidate")))))</x:f>
      </x:c>
    </x:row>
    <x:row r="498">
      <x:c r="C498" s="42"/>
      <x:c r="D498" s="44"/>
      <x:c r="E498" s="44"/>
      <x:c r="F498" s="44"/>
      <x:c r="G498" s="44"/>
      <x:c r="I498" s="44"/>
      <x:c r="J498" s="44"/>
      <x:c r="K498" s="44" t="str">
        <x:f>IF(COUNTA(D498:J498)=0,"",D498*0.25+E498*0.10+F498*0.20+G498*0.10+(H498/5)*0.10+I498*0.15+(1-J498)*0.10)</x:f>
      </x:c>
      <x:c r="L498" t="str">
        <x:f>IF(K498="","",IF(K498&gt;=0.90,"Preferred",IF(K498&gt;=0.80,"Approved",IF(K498&gt;=0.70,"Conditional",IF(K498&gt;=0.60,"Improvement Required","Replacement Candidate")))))</x:f>
      </x:c>
    </x:row>
    <x:row r="499">
      <x:c r="C499" s="42"/>
      <x:c r="D499" s="44"/>
      <x:c r="E499" s="44"/>
      <x:c r="F499" s="44"/>
      <x:c r="G499" s="44"/>
      <x:c r="I499" s="44"/>
      <x:c r="J499" s="44"/>
      <x:c r="K499" s="44" t="str">
        <x:f>IF(COUNTA(D499:J499)=0,"",D499*0.25+E499*0.10+F499*0.20+G499*0.10+(H499/5)*0.10+I499*0.15+(1-J499)*0.10)</x:f>
      </x:c>
      <x:c r="L499" t="str">
        <x:f>IF(K499="","",IF(K499&gt;=0.90,"Preferred",IF(K499&gt;=0.80,"Approved",IF(K499&gt;=0.70,"Conditional",IF(K499&gt;=0.60,"Improvement Required","Replacement Candidate")))))</x:f>
      </x:c>
    </x:row>
    <x:row r="500">
      <x:c r="C500" s="42"/>
      <x:c r="D500" s="44"/>
      <x:c r="E500" s="44"/>
      <x:c r="F500" s="44"/>
      <x:c r="G500" s="44"/>
      <x:c r="I500" s="44"/>
      <x:c r="J500" s="44"/>
      <x:c r="K500" s="44" t="str">
        <x:f>IF(COUNTA(D500:J500)=0,"",D500*0.25+E500*0.10+F500*0.20+G500*0.10+(H500/5)*0.10+I500*0.15+(1-J500)*0.10)</x:f>
      </x:c>
      <x:c r="L500" t="str">
        <x:f>IF(K500="","",IF(K500&gt;=0.90,"Preferred",IF(K500&gt;=0.80,"Approved",IF(K500&gt;=0.70,"Conditional",IF(K500&gt;=0.60,"Improvement Required","Replacement Candidate")))))</x:f>
      </x:c>
    </x:row>
  </x:sheetData>
  <x:mergeCells>
    <x:mergeCell ref="A1:N1"/>
  </x:mergeCells>
  <x:conditionalFormatting sqref="K4:K5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H4:H500">
      <x:formula1>"1,2,3,4,5"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46" hidden="0" customWidth="1"/>
    <x:col min="4" max="4" width="22" hidden="0" customWidth="1"/>
    <x:col min="5" max="5" width="18" hidden="0" customWidth="1"/>
  </x:cols>
  <x:sheetData>
    <x:row r="1">
      <x:c r="A1" s="5" t="str">
        <x:v>Procurement &amp; Inventory KPI Dictionary</x:v>
      </x:c>
      <x:c r="B1" s="5"/>
      <x:c r="C1" s="5"/>
      <x:c r="D1" s="5"/>
      <x:c r="E1" s="5"/>
    </x:row>
    <x:row r="3">
      <x:c r="A3" s="24" t="str">
        <x:v>KPI</x:v>
      </x:c>
      <x:c r="B3" s="24" t="str">
        <x:v>Definition</x:v>
      </x:c>
      <x:c r="C3" s="24" t="str">
        <x:v>Formula / Method</x:v>
      </x:c>
      <x:c r="D3" s="24" t="str">
        <x:v>Owner</x:v>
      </x:c>
      <x:c r="E3" s="24" t="str">
        <x:v>Cadence</x:v>
      </x:c>
    </x:row>
    <x:row r="4">
      <x:c r="A4" s="18" t="str">
        <x:v>Total Purchasing Spend</x:v>
      </x:c>
      <x:c r="B4" s="18" t="str">
        <x:v>Total purchase-order line value for the period.</x:v>
      </x:c>
      <x:c r="C4" s="18" t="str">
        <x:v>Sum of PO line totals</x:v>
      </x:c>
      <x:c r="D4" s="18" t="str">
        <x:v>Purchasing</x:v>
      </x:c>
      <x:c r="E4" s="18" t="str">
        <x:v>Monthly</x:v>
      </x:c>
    </x:row>
    <x:row r="5">
      <x:c r="A5" s="18" t="str">
        <x:v>Open PO Value</x:v>
      </x:c>
      <x:c r="B5" s="18" t="str">
        <x:v>Value committed but not fully received or canceled.</x:v>
      </x:c>
      <x:c r="C5" s="18" t="str">
        <x:v>Open + partially received + past-due PO line values</x:v>
      </x:c>
      <x:c r="D5" s="18" t="str">
        <x:v>Purchasing</x:v>
      </x:c>
      <x:c r="E5" s="18" t="str">
        <x:v>Weekly</x:v>
      </x:c>
    </x:row>
    <x:row r="6">
      <x:c r="A6" s="18" t="str">
        <x:v>Purchase Price Variance</x:v>
      </x:c>
      <x:c r="B6" s="18" t="str">
        <x:v>Difference between actual purchase price and standard or contract price.</x:v>
      </x:c>
      <x:c r="C6" s="18" t="str">
        <x:v>(Actual Price - Baseline Price) × Quantity</x:v>
      </x:c>
      <x:c r="D6" s="18" t="str">
        <x:v>Purchasing/Accounting</x:v>
      </x:c>
      <x:c r="E6" s="18" t="str">
        <x:v>Monthly</x:v>
      </x:c>
    </x:row>
    <x:row r="7">
      <x:c r="A7" s="18" t="str">
        <x:v>Inventory Value</x:v>
      </x:c>
      <x:c r="B7" s="18" t="str">
        <x:v>Quantity on hand multiplied by unit cost.</x:v>
      </x:c>
      <x:c r="C7" s="18" t="str">
        <x:v>Qty On Hand × Unit Cost</x:v>
      </x:c>
      <x:c r="D7" s="18" t="str">
        <x:v>Inventory/Accounting</x:v>
      </x:c>
      <x:c r="E7" s="18" t="str">
        <x:v>Monthly</x:v>
      </x:c>
    </x:row>
    <x:row r="8">
      <x:c r="A8" s="18" t="str">
        <x:v>Inventory Turns</x:v>
      </x:c>
      <x:c r="B8" s="18" t="str">
        <x:v>How many times inventory is consumed or sold annually.</x:v>
      </x:c>
      <x:c r="C8" s="18" t="str">
        <x:v>Annual COGS ÷ Average Inventory</x:v>
      </x:c>
      <x:c r="D8" s="18" t="str">
        <x:v>Accounting/Operations</x:v>
      </x:c>
      <x:c r="E8" s="18" t="str">
        <x:v>Monthly</x:v>
      </x:c>
    </x:row>
    <x:row r="9">
      <x:c r="A9" s="18" t="str">
        <x:v>Days Inventory on Hand</x:v>
      </x:c>
      <x:c r="B9" s="18" t="str">
        <x:v>Estimated days represented by current inventory.</x:v>
      </x:c>
      <x:c r="C9" s="18" t="str">
        <x:v>365 ÷ Inventory Turns</x:v>
      </x:c>
      <x:c r="D9" s="18" t="str">
        <x:v>Accounting/Operations</x:v>
      </x:c>
      <x:c r="E9" s="18" t="str">
        <x:v>Monthly</x:v>
      </x:c>
    </x:row>
    <x:row r="10">
      <x:c r="A10" s="18" t="str">
        <x:v>Inventory Accuracy</x:v>
      </x:c>
      <x:c r="B10" s="18" t="str">
        <x:v>Agreement between system and physical quantities.</x:v>
      </x:c>
      <x:c r="C10" s="18" t="str">
        <x:v>Correct count lines ÷ Total count lines</x:v>
      </x:c>
      <x:c r="D10" s="18" t="str">
        <x:v>Warehouse</x:v>
      </x:c>
      <x:c r="E10" s="18" t="str">
        <x:v>Cycle count</x:v>
      </x:c>
    </x:row>
    <x:row r="11">
      <x:c r="A11" s="18" t="str">
        <x:v>Supplier On-Time Delivery</x:v>
      </x:c>
      <x:c r="B11" s="18" t="str">
        <x:v>Supplier lines received by confirmed required date.</x:v>
      </x:c>
      <x:c r="C11" s="18" t="str">
        <x:v>On-time receipts ÷ Total receipts</x:v>
      </x:c>
      <x:c r="D11" s="18" t="str">
        <x:v>Purchasing</x:v>
      </x:c>
      <x:c r="E11" s="18" t="str">
        <x:v>Monthly</x:v>
      </x:c>
    </x:row>
    <x:row r="12">
      <x:c r="A12" s="18" t="str">
        <x:v>Supplier Quality Acceptance</x:v>
      </x:c>
      <x:c r="B12" s="18" t="str">
        <x:v>Supplier lines accepted without defect or return.</x:v>
      </x:c>
      <x:c r="C12" s="18" t="str">
        <x:v>Accepted lines ÷ Received lines</x:v>
      </x:c>
      <x:c r="D12" s="18" t="str">
        <x:v>Quality/Operations</x:v>
      </x:c>
      <x:c r="E12" s="18" t="str">
        <x:v>Monthly</x:v>
      </x:c>
    </x:row>
    <x:row r="13">
      <x:c r="A13" s="18" t="str">
        <x:v>Stockout Rate</x:v>
      </x:c>
      <x:c r="B13" s="18" t="str">
        <x:v>Demand lines that could not be filled when required.</x:v>
      </x:c>
      <x:c r="C13" s="18" t="str">
        <x:v>Stockout demand lines ÷ Total demand lines</x:v>
      </x:c>
      <x:c r="D13" s="18" t="str">
        <x:v>Operations</x:v>
      </x:c>
      <x:c r="E13" s="18" t="str">
        <x:v>Weekly</x:v>
      </x:c>
    </x:row>
    <x:row r="14">
      <x:c r="A14" s="18" t="str">
        <x:v>Expedite Cost</x:v>
      </x:c>
      <x:c r="B14" s="18" t="str">
        <x:v>Rush freight and emergency-buying cost.</x:v>
      </x:c>
      <x:c r="C14" s="18" t="str">
        <x:v>Sum of expedite freight and rush fees</x:v>
      </x:c>
      <x:c r="D14" s="18" t="str">
        <x:v>Purchasing</x:v>
      </x:c>
      <x:c r="E14" s="18" t="str">
        <x:v>Monthly</x:v>
      </x:c>
    </x:row>
    <x:row r="15">
      <x:c r="A15" s="18" t="str">
        <x:v>Excess &amp; Obsolete Value</x:v>
      </x:c>
      <x:c r="B15" s="18" t="str">
        <x:v>Inventory classified as excess or obsolete, excluding approved strategic legacy stock.</x:v>
      </x:c>
      <x:c r="C15" s="18" t="str">
        <x:v>Sum inventory value by aging classification</x:v>
      </x:c>
      <x:c r="D15" s="18" t="str">
        <x:v>Leadership/Accounting</x:v>
      </x:c>
      <x:c r="E15" s="18" t="str">
        <x:v>Monthly</x:v>
      </x:c>
    </x:row>
    <x:row r="16">
      <x:c r="A16" s="18" t="str">
        <x:v>Realized Savings</x:v>
      </x:c>
      <x:c r="B16" s="18" t="str">
        <x:v>Savings confirmed after implementation and validated by Accounting.</x:v>
      </x:c>
      <x:c r="C16" s="18" t="str">
        <x:v>Baseline cost - actual cost, adjusted for volume/spec changes</x:v>
      </x:c>
      <x:c r="D16" s="18" t="str">
        <x:v>Purchasing/Accounting</x:v>
      </x:c>
      <x:c r="E16" s="18" t="str">
        <x:v>Monthly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2" hidden="0" customWidth="1"/>
    <x:col min="4" max="4" width="20" hidden="0" customWidth="1"/>
    <x:col min="5" max="5" width="20" hidden="0" customWidth="1"/>
    <x:col min="6" max="6" width="34" hidden="0" customWidth="1"/>
    <x:col min="7" max="7" width="16" hidden="0" customWidth="1"/>
    <x:col min="8" max="8" width="14" hidden="0" customWidth="1"/>
  </x:cols>
  <x:sheetData>
    <x:row r="1">
      <x:c r="A1" s="5" t="str">
        <x:v>30-Day Procurement Transformation Launch Plan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Week</x:v>
      </x:c>
      <x:c r="B3" s="24" t="str">
        <x:v>Workstream</x:v>
      </x:c>
      <x:c r="C3" s="24" t="str">
        <x:v>Action</x:v>
      </x:c>
      <x:c r="D3" s="24" t="str">
        <x:v>Owner</x:v>
      </x:c>
      <x:c r="E3" s="24" t="str">
        <x:v>Business Scope</x:v>
      </x:c>
      <x:c r="F3" s="24" t="str">
        <x:v>Deliverable</x:v>
      </x:c>
      <x:c r="G3" s="24" t="str">
        <x:v>Status</x:v>
      </x:c>
      <x:c r="H3" s="24" t="str">
        <x:v>Due Date</x:v>
      </x:c>
    </x:row>
    <x:row r="4">
      <x:c r="A4" s="18" t="str">
        <x:v>Week 1</x:v>
      </x:c>
      <x:c r="B4" s="18" t="str">
        <x:v>Governance</x:v>
      </x:c>
      <x:c r="C4" s="18" t="str">
        <x:v>Name executive sponsor, program lead, and one representative from each business.</x:v>
      </x:c>
      <x:c r="D4" s="18" t="str"/>
      <x:c r="E4" s="18" t="str">
        <x:v>All five</x:v>
      </x:c>
      <x:c r="F4" s="18" t="str">
        <x:v>Confirmed transformation team</x:v>
      </x:c>
      <x:c r="G4" s="18" t="str">
        <x:v>Not Started</x:v>
      </x:c>
      <x:c r="H4" s="48" t="n">
        <x:v>46230</x:v>
      </x:c>
    </x:row>
    <x:row r="5">
      <x:c r="A5" s="18" t="str">
        <x:v>Week 1</x:v>
      </x:c>
      <x:c r="B5" s="18" t="str">
        <x:v>Discovery</x:v>
      </x:c>
      <x:c r="C5" s="18" t="str">
        <x:v>Complete the standardized purchasing and inventory process interviews.</x:v>
      </x:c>
      <x:c r="D5" s="18" t="str"/>
      <x:c r="E5" s="18" t="str">
        <x:v>All five</x:v>
      </x:c>
      <x:c r="F5" s="18" t="str">
        <x:v>Current-state process maps</x:v>
      </x:c>
      <x:c r="G5" s="18" t="str">
        <x:v>Not Started</x:v>
      </x:c>
      <x:c r="H5" s="48" t="n">
        <x:v>46234</x:v>
      </x:c>
    </x:row>
    <x:row r="6">
      <x:c r="A6" s="18" t="str">
        <x:v>Week 1</x:v>
      </x:c>
      <x:c r="B6" s="18" t="str">
        <x:v>Data</x:v>
      </x:c>
      <x:c r="C6" s="18" t="str">
        <x:v>Identify all systems and owners for supplier, item, PO, invoice, inventory, sales, project, and work-order data.</x:v>
      </x:c>
      <x:c r="D6" s="18" t="str"/>
      <x:c r="E6" s="18" t="str">
        <x:v>All five</x:v>
      </x:c>
      <x:c r="F6" s="18" t="str">
        <x:v>Data-source register</x:v>
      </x:c>
      <x:c r="G6" s="18" t="str">
        <x:v>Not Started</x:v>
      </x:c>
      <x:c r="H6" s="48" t="n">
        <x:v>46234</x:v>
      </x:c>
    </x:row>
    <x:row r="7">
      <x:c r="A7" s="18" t="str">
        <x:v>Week 2</x:v>
      </x:c>
      <x:c r="B7" s="18" t="str">
        <x:v>Data</x:v>
      </x:c>
      <x:c r="C7" s="18" t="str">
        <x:v>Export 12-24 months of purchasing history and the current inventory snapshot.</x:v>
      </x:c>
      <x:c r="D7" s="18" t="str"/>
      <x:c r="E7" s="18" t="str">
        <x:v>All five</x:v>
      </x:c>
      <x:c r="F7" s="18" t="str">
        <x:v>Baseline data files</x:v>
      </x:c>
      <x:c r="G7" s="18" t="str">
        <x:v>Not Started</x:v>
      </x:c>
      <x:c r="H7" s="48" t="n">
        <x:v>46239</x:v>
      </x:c>
    </x:row>
    <x:row r="8">
      <x:c r="A8" s="18" t="str">
        <x:v>Week 2</x:v>
      </x:c>
      <x:c r="B8" s="18" t="str">
        <x:v>Master Data</x:v>
      </x:c>
      <x:c r="C8" s="18" t="str">
        <x:v>Normalize supplier names and assign common category and company codes.</x:v>
      </x:c>
      <x:c r="D8" s="18" t="str"/>
      <x:c r="E8" s="18" t="str">
        <x:v>All five</x:v>
      </x:c>
      <x:c r="F8" s="18" t="str">
        <x:v>Consolidated supplier master</x:v>
      </x:c>
      <x:c r="G8" s="18" t="str">
        <x:v>Not Started</x:v>
      </x:c>
      <x:c r="H8" s="48" t="n">
        <x:v>46241</x:v>
      </x:c>
    </x:row>
    <x:row r="9">
      <x:c r="A9" s="18" t="str">
        <x:v>Week 2</x:v>
      </x:c>
      <x:c r="B9" s="18" t="str">
        <x:v>Master Data</x:v>
      </x:c>
      <x:c r="C9" s="18" t="str">
        <x:v>Normalize item descriptions, units of measure, and primary suppliers.</x:v>
      </x:c>
      <x:c r="D9" s="18" t="str"/>
      <x:c r="E9" s="18" t="str">
        <x:v>All five</x:v>
      </x:c>
      <x:c r="F9" s="18" t="str">
        <x:v>Initial item master</x:v>
      </x:c>
      <x:c r="G9" s="18" t="str">
        <x:v>Not Started</x:v>
      </x:c>
      <x:c r="H9" s="48" t="n">
        <x:v>46241</x:v>
      </x:c>
    </x:row>
    <x:row r="10">
      <x:c r="A10" s="18" t="str">
        <x:v>Week 3</x:v>
      </x:c>
      <x:c r="B10" s="18" t="str">
        <x:v>Reporting</x:v>
      </x:c>
      <x:c r="C10" s="18" t="str">
        <x:v>Load data into the baseline workbook and validate totals with Accounting.</x:v>
      </x:c>
      <x:c r="D10" s="18" t="str"/>
      <x:c r="E10" s="18" t="str">
        <x:v>All five</x:v>
      </x:c>
      <x:c r="F10" s="18" t="str">
        <x:v>Validated spend and inventory baseline</x:v>
      </x:c>
      <x:c r="G10" s="18" t="str">
        <x:v>Not Started</x:v>
      </x:c>
      <x:c r="H10" s="48" t="n">
        <x:v>46246</x:v>
      </x:c>
    </x:row>
    <x:row r="11">
      <x:c r="A11" s="18" t="str">
        <x:v>Week 3</x:v>
      </x:c>
      <x:c r="B11" s="18" t="str">
        <x:v>Analysis</x:v>
      </x:c>
      <x:c r="C11" s="18" t="str">
        <x:v>Identify duplicate suppliers, price differences, old inventory, stockouts, expedites, and open-PO risks.</x:v>
      </x:c>
      <x:c r="D11" s="18" t="str"/>
      <x:c r="E11" s="18" t="str">
        <x:v>All five</x:v>
      </x:c>
      <x:c r="F11" s="18" t="str">
        <x:v>Top opportunity register</x:v>
      </x:c>
      <x:c r="G11" s="18" t="str">
        <x:v>Not Started</x:v>
      </x:c>
      <x:c r="H11" s="48" t="n">
        <x:v>46248</x:v>
      </x:c>
    </x:row>
    <x:row r="12">
      <x:c r="A12" s="18" t="str">
        <x:v>Week 3</x:v>
      </x:c>
      <x:c r="B12" s="18" t="str">
        <x:v>Pilot</x:v>
      </x:c>
      <x:c r="C12" s="18" t="str">
        <x:v>Select one Gruber Power category for the first procurement pilot.</x:v>
      </x:c>
      <x:c r="D12" s="18" t="str"/>
      <x:c r="E12" s="18" t="str">
        <x:v>Gruber Power</x:v>
      </x:c>
      <x:c r="F12" s="18" t="str">
        <x:v>Pilot charter</x:v>
      </x:c>
      <x:c r="G12" s="18" t="str">
        <x:v>Not Started</x:v>
      </x:c>
      <x:c r="H12" s="48" t="n">
        <x:v>46248</x:v>
      </x:c>
    </x:row>
    <x:row r="13">
      <x:c r="A13" s="18" t="str">
        <x:v>Week 4</x:v>
      </x:c>
      <x:c r="B13" s="18" t="str">
        <x:v>Supplier Strategy</x:v>
      </x:c>
      <x:c r="C13" s="18" t="str">
        <x:v>Prepare negotiation plans for the highest-value supplier and category opportunities.</x:v>
      </x:c>
      <x:c r="D13" s="18" t="str"/>
      <x:c r="E13" s="18" t="str">
        <x:v>Enterprise</x:v>
      </x:c>
      <x:c r="F13" s="18" t="str">
        <x:v>Supplier negotiation briefs</x:v>
      </x:c>
      <x:c r="G13" s="18" t="str">
        <x:v>Not Started</x:v>
      </x:c>
      <x:c r="H13" s="48" t="n">
        <x:v>46253</x:v>
      </x:c>
    </x:row>
    <x:row r="14">
      <x:c r="A14" s="18" t="str">
        <x:v>Week 4</x:v>
      </x:c>
      <x:c r="B14" s="18" t="str">
        <x:v>Governance</x:v>
      </x:c>
      <x:c r="C14" s="18" t="str">
        <x:v>Approve purchasing thresholds, supplier onboarding, PO, emergency-buy, and inventory-transfer rules.</x:v>
      </x:c>
      <x:c r="D14" s="18" t="str"/>
      <x:c r="E14" s="18" t="str">
        <x:v>All five</x:v>
      </x:c>
      <x:c r="F14" s="18" t="str">
        <x:v>Interim procurement policy</x:v>
      </x:c>
      <x:c r="G14" s="18" t="str">
        <x:v>Not Started</x:v>
      </x:c>
      <x:c r="H14" s="48" t="n">
        <x:v>46255</x:v>
      </x:c>
    </x:row>
    <x:row r="15">
      <x:c r="A15" s="18" t="str">
        <x:v>Week 4</x:v>
      </x:c>
      <x:c r="B15" s="18" t="str">
        <x:v>Leadership</x:v>
      </x:c>
      <x:c r="C15" s="18" t="str">
        <x:v>Present baseline, risks, savings pipeline, pilot scope, and 90-day roadmap.</x:v>
      </x:c>
      <x:c r="D15" s="18" t="str"/>
      <x:c r="E15" s="18" t="str">
        <x:v>All five</x:v>
      </x:c>
      <x:c r="F15" s="18" t="str">
        <x:v>Executive review package</x:v>
      </x:c>
      <x:c r="G15" s="18" t="str">
        <x:v>Not Started</x:v>
      </x:c>
      <x:c r="H15" s="48" t="n">
        <x:v>46259</x:v>
      </x:c>
    </x:row>
  </x:sheetData>
  <x:mergeCells>
    <x:mergeCell ref="A1:H1"/>
  </x:mergeCells>
  <x:dataValidations count="1">
    <x:dataValidation type="list" sqref="G4:G15">
      <x:formula1>"Not Started,In Progress,Blocked,Complete"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4" hidden="0" customWidth="1"/>
    <x:col min="4" max="4" width="30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</x:cols>
  <x:sheetData>
    <x:row r="1">
      <x:c r="A1" s="5" t="str">
        <x:v>Executive Procurement &amp; Inventory Scorecard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KPI</x:v>
      </x:c>
      <x:c r="B3" s="24" t="str">
        <x:v>Current Baseline</x:v>
      </x:c>
      <x:c r="D3" s="24" t="str">
        <x:v>Company</x:v>
      </x:c>
      <x:c r="E3" s="24" t="str">
        <x:v>Purchasing Spend</x:v>
      </x:c>
      <x:c r="F3" s="24" t="str">
        <x:v>Inventory Value</x:v>
      </x:c>
    </x:row>
    <x:row r="4">
      <x:c r="A4" s="52" t="str">
        <x:v>Total Purchasing Spend</x:v>
      </x:c>
      <x:c r="B4" s="62" t="n">
        <x:f>SUM('Purchase Orders'!N4:N1000)</x:f>
        <x:v>0</x:v>
      </x:c>
      <x:c r="D4" s="18" t="str">
        <x:v>Gruber Communications</x:v>
      </x:c>
      <x:c r="E4" s="42" t="n">
        <x:f>SUMIF('Purchase Orders'!C4:C1000,"GC",'Purchase Orders'!N4:N1000)</x:f>
        <x:v>0</x:v>
      </x:c>
      <x:c r="F4" s="42" t="n">
        <x:f>SUMIF('Inventory Snapshot'!B4:B1000,"GC",'Inventory Snapshot'!J4:J1000)</x:f>
        <x:v>0</x:v>
      </x:c>
    </x:row>
    <x:row r="5">
      <x:c r="A5" s="52" t="str">
        <x:v>Open / Past-Due PO Value</x:v>
      </x:c>
      <x:c r="B5" s="62" t="n">
        <x:f>SUMIF('Purchase Orders'!R4:R1000,"Open",'Purchase Orders'!N4:N1000)+SUMIF('Purchase Orders'!R4:R1000,"Partially Received",'Purchase Orders'!N4:N1000)+SUMIF('Purchase Orders'!R4:R1000,"Past Due",'Purchase Orders'!N4:N1000)</x:f>
        <x:v>0</x:v>
      </x:c>
      <x:c r="D5" s="18" t="str">
        <x:v>Gruber Power Services</x:v>
      </x:c>
      <x:c r="E5" s="42" t="n">
        <x:f>SUMIF('Purchase Orders'!C4:C1000,"GPS",'Purchase Orders'!N4:N1000)</x:f>
        <x:v>0</x:v>
      </x:c>
      <x:c r="F5" s="42" t="n">
        <x:f>SUMIF('Inventory Snapshot'!B4:B1000,"GPS",'Inventory Snapshot'!J4:J1000)</x:f>
        <x:v>0</x:v>
      </x:c>
    </x:row>
    <x:row r="6">
      <x:c r="A6" s="52" t="str">
        <x:v>Inventory Value</x:v>
      </x:c>
      <x:c r="B6" s="62" t="n">
        <x:f>SUM('Inventory Snapshot'!J4:J1000)</x:f>
        <x:v>0</x:v>
      </x:c>
      <x:c r="D6" s="18" t="str">
        <x:v>Gruber Technical Services</x:v>
      </x:c>
      <x:c r="E6" s="42" t="n">
        <x:f>SUMIF('Purchase Orders'!C4:C1000,"GTS",'Purchase Orders'!N4:N1000)</x:f>
        <x:v>0</x:v>
      </x:c>
      <x:c r="F6" s="42" t="n">
        <x:f>SUMIF('Inventory Snapshot'!B4:B1000,"GTS",'Inventory Snapshot'!J4:J1000)</x:f>
        <x:v>0</x:v>
      </x:c>
    </x:row>
    <x:row r="7">
      <x:c r="A7" s="52" t="str">
        <x:v>Excess + Obsolete Inventory</x:v>
      </x:c>
      <x:c r="B7" s="62" t="n">
        <x:f>SUMIF('Inventory Snapshot'!M4:M1000,"Excess",'Inventory Snapshot'!J4:J1000)+SUMIF('Inventory Snapshot'!M4:M1000,"Obsolete",'Inventory Snapshot'!J4:J1000)</x:f>
        <x:v>0</x:v>
      </x:c>
      <x:c r="D7" s="18" t="str">
        <x:v>Gruber Motor Company</x:v>
      </x:c>
      <x:c r="E7" s="42" t="n">
        <x:f>SUMIF('Purchase Orders'!C4:C1000,"GMC",'Purchase Orders'!N4:N1000)</x:f>
        <x:v>0</x:v>
      </x:c>
      <x:c r="F7" s="42" t="n">
        <x:f>SUMIF('Inventory Snapshot'!B4:B1000,"GMC",'Inventory Snapshot'!J4:J1000)</x:f>
        <x:v>0</x:v>
      </x:c>
    </x:row>
    <x:row r="8">
      <x:c r="A8" s="52" t="str">
        <x:v>Strategic Legacy Inventory</x:v>
      </x:c>
      <x:c r="B8" s="62" t="n">
        <x:f>SUMIF('Inventory Snapshot'!M4:M1000,"Strategic Legacy",'Inventory Snapshot'!J4:J1000)</x:f>
        <x:v>0</x:v>
      </x:c>
      <x:c r="D8" s="18" t="str">
        <x:v>EV Preserve</x:v>
      </x:c>
      <x:c r="E8" s="42" t="n">
        <x:f>SUMIF('Purchase Orders'!C4:C1000,"EVP",'Purchase Orders'!N4:N1000)</x:f>
        <x:v>0</x:v>
      </x:c>
      <x:c r="F8" s="42" t="n">
        <x:f>SUMIF('Inventory Snapshot'!B4:B1000,"EVP",'Inventory Snapshot'!J4:J1000)</x:f>
        <x:v>0</x:v>
      </x:c>
    </x:row>
    <x:row r="9">
      <x:c r="A9" s="52" t="str">
        <x:v>Expedite Freight</x:v>
      </x:c>
      <x:c r="B9" s="62" t="n">
        <x:f>SUM('Purchase Orders'!U4:U1000)</x:f>
        <x:v>0</x:v>
      </x:c>
    </x:row>
    <x:row r="10">
      <x:c r="A10" s="52" t="str">
        <x:v>Expected Annual Savings</x:v>
      </x:c>
      <x:c r="B10" s="62" t="n">
        <x:f>SUM('Savings Pipeline'!F4:F500)</x:f>
        <x:v>0</x:v>
      </x:c>
    </x:row>
    <x:row r="12">
      <x:c r="A12" s="13" t="str">
        <x:v>Leadership Interpretation</x:v>
      </x:c>
      <x:c r="B12" s="13"/>
      <x:c r="C12" s="13"/>
      <x:c r="D12" s="13"/>
      <x:c r="E12" s="13"/>
      <x:c r="F12" s="13"/>
      <x:c r="G12" s="13"/>
      <x:c r="H12" s="13"/>
    </x:row>
    <x:row r="13">
      <x:c r="A13" s="18" t="str">
        <x:v>Start with data completeness and comparability. Once the five companies use normalized supplier, item, category, company, location, and business-purpose fields, leadership can consolidate demand, negotiate enterprise agreements, transfer usable inventory between businesses, control emergency buying, and validate savings with Accounting.</x:v>
      </x:c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</x:sheetData>
  <x:mergeCells>
    <x:mergeCell ref="A1:H1"/>
    <x:mergeCell ref="A12:H12"/>
    <x:mergeCell ref="A13:H17"/>
  </x:mergeCells>
  <x:pageMargins left="0.7" right="0.7" top="0.75" bottom="0.75" header="0.3" footer="0.3"/>
  <x:drawing xmlns:r="http://schemas.openxmlformats.org/officeDocument/2006/relationships" r:id="R78dd846be08d45ed"/>
</x:worksheet>
</file>